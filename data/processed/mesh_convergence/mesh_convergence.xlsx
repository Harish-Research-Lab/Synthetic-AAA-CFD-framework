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1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user/Desktop/Vijay-Nandurdikar-PhD/Aorta/ofCaseGen/Method_4/data/output/postProcess/mesh_convergence/"/>
    </mc:Choice>
  </mc:AlternateContent>
  <xr:revisionPtr revIDLastSave="0" documentId="13_ncr:1_{EBCA34FE-AA16-BA49-9E03-25125B9DA60C}" xr6:coauthVersionLast="47" xr6:coauthVersionMax="47" xr10:uidLastSave="{00000000-0000-0000-0000-000000000000}"/>
  <bookViews>
    <workbookView xWindow="0" yWindow="760" windowWidth="30240" windowHeight="17680" activeTab="5" xr2:uid="{C42324B8-C90B-634F-A2AA-A862C06CC271}"/>
  </bookViews>
  <sheets>
    <sheet name="Sheet1" sheetId="1" r:id="rId1"/>
    <sheet name="Sheet2" sheetId="2" r:id="rId2"/>
    <sheet name="Sheet3" sheetId="3" r:id="rId3"/>
    <sheet name="Sheet4" sheetId="4" r:id="rId4"/>
    <sheet name="Sheet5" sheetId="5" r:id="rId5"/>
    <sheet name="Sheet6" sheetId="6" r:id="rId6"/>
  </sheets>
  <definedNames>
    <definedName name="_xlnm._FilterDatabase" localSheetId="1" hidden="1">Sheet2!$A$1:$C$23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" i="2" l="1"/>
  <c r="E4" i="2"/>
  <c r="E5" i="2"/>
  <c r="E6" i="2"/>
  <c r="E7" i="2"/>
  <c r="E8" i="2"/>
  <c r="E9" i="2"/>
  <c r="E10" i="2"/>
  <c r="E11" i="2"/>
  <c r="E12" i="2"/>
  <c r="E13" i="2"/>
  <c r="E14" i="2"/>
  <c r="E15" i="2"/>
  <c r="E16" i="2"/>
  <c r="E17" i="2"/>
  <c r="E18" i="2"/>
  <c r="E19" i="2"/>
  <c r="E20" i="2"/>
  <c r="E21" i="2"/>
  <c r="E2" i="2"/>
  <c r="D19" i="2"/>
  <c r="D20" i="2"/>
  <c r="D21" i="2"/>
  <c r="D3" i="2"/>
  <c r="D4" i="2"/>
  <c r="D5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D2" i="2"/>
</calcChain>
</file>

<file path=xl/sharedStrings.xml><?xml version="1.0" encoding="utf-8"?>
<sst xmlns="http://schemas.openxmlformats.org/spreadsheetml/2006/main" count="531" uniqueCount="405">
  <si>
    <t>blocks</t>
  </si>
  <si>
    <t>feature levels</t>
  </si>
  <si>
    <t xml:space="preserve">inlet </t>
  </si>
  <si>
    <t xml:space="preserve">outlet </t>
  </si>
  <si>
    <t>wall</t>
  </si>
  <si>
    <t>217 358 202</t>
  </si>
  <si>
    <t>blockMesh</t>
  </si>
  <si>
    <t>refinement surface</t>
  </si>
  <si>
    <t>layers</t>
  </si>
  <si>
    <t>maxGlobalCells</t>
  </si>
  <si>
    <t>maxLocalCells</t>
  </si>
  <si>
    <t>Number of cells</t>
  </si>
  <si>
    <t>snappyHexMesh</t>
  </si>
  <si>
    <t>(0 1)</t>
  </si>
  <si>
    <t>(1 2)</t>
  </si>
  <si>
    <t>mesh1</t>
  </si>
  <si>
    <t>(0 0)</t>
  </si>
  <si>
    <t>mesh2</t>
  </si>
  <si>
    <t>mesh4</t>
  </si>
  <si>
    <t>(2 3)</t>
  </si>
  <si>
    <t>mesh5</t>
  </si>
  <si>
    <t>(3 4)</t>
  </si>
  <si>
    <t>mesh3_20k</t>
  </si>
  <si>
    <t>mesh3</t>
  </si>
  <si>
    <t>solution blown due to courant number shoots</t>
  </si>
  <si>
    <t>set1</t>
  </si>
  <si>
    <t>set2</t>
  </si>
  <si>
    <t>set3</t>
  </si>
  <si>
    <t>54 89 50</t>
  </si>
  <si>
    <t>76 126 71</t>
  </si>
  <si>
    <t>108 179 101</t>
  </si>
  <si>
    <t>153 253 143</t>
  </si>
  <si>
    <t>mesh6</t>
  </si>
  <si>
    <t>mesh7</t>
  </si>
  <si>
    <t>mesh8</t>
  </si>
  <si>
    <t>mesh9</t>
  </si>
  <si>
    <t>mesh10</t>
  </si>
  <si>
    <t xml:space="preserve">peak systolicWSS 95th percentile </t>
  </si>
  <si>
    <t>NA</t>
  </si>
  <si>
    <t>set1mesh2</t>
  </si>
  <si>
    <t>set1mesh3</t>
  </si>
  <si>
    <t>set1mesh4</t>
  </si>
  <si>
    <t>set1mesh5</t>
  </si>
  <si>
    <t>set2mesh1</t>
  </si>
  <si>
    <t>set2mesh2</t>
  </si>
  <si>
    <t>set2mesh3_20k</t>
  </si>
  <si>
    <t>set2mesh4</t>
  </si>
  <si>
    <t>set3mesh1</t>
  </si>
  <si>
    <t>set3mesh2</t>
  </si>
  <si>
    <t>set3mesh3</t>
  </si>
  <si>
    <t>set3mesh4</t>
  </si>
  <si>
    <t>set3mesh5</t>
  </si>
  <si>
    <t>set3mesh6</t>
  </si>
  <si>
    <t>set3mesh7</t>
  </si>
  <si>
    <t>set3mesh8</t>
  </si>
  <si>
    <t>set3mesh9</t>
  </si>
  <si>
    <t>set3mesh10</t>
  </si>
  <si>
    <t>set1mesh1</t>
  </si>
  <si>
    <t xml:space="preserve">peak systolic WSS 95th percentile </t>
  </si>
  <si>
    <t>set4</t>
  </si>
  <si>
    <t>mesh 2</t>
  </si>
  <si>
    <t>mesh 3</t>
  </si>
  <si>
    <t>200 330 190</t>
  </si>
  <si>
    <t>180 300 170</t>
  </si>
  <si>
    <t>set4mesh1</t>
  </si>
  <si>
    <t>set4mesh2</t>
  </si>
  <si>
    <t>set4mesh3</t>
  </si>
  <si>
    <t xml:space="preserve"> </t>
  </si>
  <si>
    <t>Error</t>
  </si>
  <si>
    <t>log</t>
  </si>
  <si>
    <t>velocity</t>
  </si>
  <si>
    <t>pressure drop from two locations</t>
  </si>
  <si>
    <t>sawss at particular surface area</t>
  </si>
  <si>
    <t>hard to achieve with wss</t>
  </si>
  <si>
    <t>Emily Manchester paper suppl. Materials</t>
  </si>
  <si>
    <t>velocity at probe/line</t>
  </si>
  <si>
    <t>refinement box same as blockmesh, inside domain</t>
  </si>
  <si>
    <t>blockmesh refinment rather than shm</t>
  </si>
  <si>
    <t xml:space="preserve">kinetic energy - cut into 3 region clips, calculate each part their energy (u2+v2+w2)/2 / rho </t>
  </si>
  <si>
    <t>set5</t>
  </si>
  <si>
    <t>111 183 103</t>
  </si>
  <si>
    <t>139  229  129</t>
  </si>
  <si>
    <t>174  286 162</t>
  </si>
  <si>
    <t>272 448  252</t>
  </si>
  <si>
    <t>339  559 316</t>
  </si>
  <si>
    <t>u1</t>
  </si>
  <si>
    <t>u2</t>
  </si>
  <si>
    <t>u3</t>
  </si>
  <si>
    <t>u4</t>
  </si>
  <si>
    <t>u5</t>
  </si>
  <si>
    <t>p1</t>
  </si>
  <si>
    <t>p2</t>
  </si>
  <si>
    <t>p3</t>
  </si>
  <si>
    <t>p4</t>
  </si>
  <si>
    <t>p5</t>
  </si>
  <si>
    <t>Cells</t>
  </si>
  <si>
    <t>PointID</t>
  </si>
  <si>
    <t>0.44647103828046897</t>
  </si>
  <si>
    <t>0.44763934076049355</t>
  </si>
  <si>
    <t>0.4525277019135807</t>
  </si>
  <si>
    <t>0.4572529832194236</t>
  </si>
  <si>
    <t>0.46117561482119324</t>
  </si>
  <si>
    <t>0.4627614335077632</t>
  </si>
  <si>
    <t>0.4616194745230751</t>
  </si>
  <si>
    <t>0.45700344035182505</t>
  </si>
  <si>
    <t>0.4365520052512072</t>
  </si>
  <si>
    <t>0.4240889885271486</t>
  </si>
  <si>
    <t>0.4153470609761913</t>
  </si>
  <si>
    <t>0.4147113677728644</t>
  </si>
  <si>
    <t>0.4273409195402308</t>
  </si>
  <si>
    <t>0.43193587065652467</t>
  </si>
  <si>
    <t>0.43504659473928764</t>
  </si>
  <si>
    <t>0.4354106706209782</t>
  </si>
  <si>
    <t>0.42702299493574114</t>
  </si>
  <si>
    <t>0.4115357631497749</t>
  </si>
  <si>
    <t>0.3921307588393953</t>
  </si>
  <si>
    <t>0.37437661420804064</t>
  </si>
  <si>
    <t>0.35822509341614195</t>
  </si>
  <si>
    <t>0.33291363652154593</t>
  </si>
  <si>
    <t>0.28521612389537887</t>
  </si>
  <si>
    <t>0.20990959625829142</t>
  </si>
  <si>
    <t>0.13987367267096978</t>
  </si>
  <si>
    <t>0.10711205815154072</t>
  </si>
  <si>
    <t>0.1166209956940533</t>
  </si>
  <si>
    <t>0.14635861002349673</t>
  </si>
  <si>
    <t>0.16051574009180533</t>
  </si>
  <si>
    <t>0.15119122815058947</t>
  </si>
  <si>
    <t>0.13522099312784389</t>
  </si>
  <si>
    <t>0.12089092022218584</t>
  </si>
  <si>
    <t>0.11091027969766673</t>
  </si>
  <si>
    <t>0.10293141617255104</t>
  </si>
  <si>
    <t>0.10484733914172548</t>
  </si>
  <si>
    <t>0.10426683394725478</t>
  </si>
  <si>
    <t>0.10958520632412022</t>
  </si>
  <si>
    <t>0.12728311072817203</t>
  </si>
  <si>
    <t>0.1491594133832994</t>
  </si>
  <si>
    <t>0.17333129656599813</t>
  </si>
  <si>
    <t>0.20884972863521395</t>
  </si>
  <si>
    <t>0.2644901347496265</t>
  </si>
  <si>
    <t>0.3501521864346993</t>
  </si>
  <si>
    <t>0.48229454940834654</t>
  </si>
  <si>
    <t>0.6788298030824811</t>
  </si>
  <si>
    <t>0.9506540505335315</t>
  </si>
  <si>
    <t>0.4485925273152758</t>
  </si>
  <si>
    <t>0.4526143953170392</t>
  </si>
  <si>
    <t>0.4572789403883871</t>
  </si>
  <si>
    <t>0.46104835751586143</t>
  </si>
  <si>
    <t>0.46255547518227474</t>
  </si>
  <si>
    <t>0.46140978910600716</t>
  </si>
  <si>
    <t>0.45672610989757406</t>
  </si>
  <si>
    <t>0.4484338301358802</t>
  </si>
  <si>
    <t>0.43740421812895225</t>
  </si>
  <si>
    <t>0.4249251430753539</t>
  </si>
  <si>
    <t>0.4178947193839137</t>
  </si>
  <si>
    <t>0.4115154250819282</t>
  </si>
  <si>
    <t>0.41001634623224475</t>
  </si>
  <si>
    <t>0.40905910727566014</t>
  </si>
  <si>
    <t>0.4041653087629367</t>
  </si>
  <si>
    <t>0.40704313663420244</t>
  </si>
  <si>
    <t>0.40458944078318454</t>
  </si>
  <si>
    <t>0.39118895201551895</t>
  </si>
  <si>
    <t>0.3673395528204933</t>
  </si>
  <si>
    <t>0.34762961431588363</t>
  </si>
  <si>
    <t>0.3189066131296747</t>
  </si>
  <si>
    <t>0.2636653052519341</t>
  </si>
  <si>
    <t>0.1871088279544287</t>
  </si>
  <si>
    <t>0.19133996788661276</t>
  </si>
  <si>
    <t>0.17141897784775756</t>
  </si>
  <si>
    <t>0.19006546668871757</t>
  </si>
  <si>
    <t>0.1738906578314097</t>
  </si>
  <si>
    <t>0.1472441065070178</t>
  </si>
  <si>
    <t>0.13826135696927902</t>
  </si>
  <si>
    <t>0.10467001166437119</t>
  </si>
  <si>
    <t>0.11617309798323534</t>
  </si>
  <si>
    <t>0.11745528730618474</t>
  </si>
  <si>
    <t>0.11338739474548483</t>
  </si>
  <si>
    <t>0.11454982316368933</t>
  </si>
  <si>
    <t>0.11517430818980427</t>
  </si>
  <si>
    <t>0.1182837426469183</t>
  </si>
  <si>
    <t>0.1322272846597479</t>
  </si>
  <si>
    <t>0.15868952470311326</t>
  </si>
  <si>
    <t>0.20049890001528686</t>
  </si>
  <si>
    <t>0.26093275177140945</t>
  </si>
  <si>
    <t>0.34800280794736416</t>
  </si>
  <si>
    <t>0.4814800191740982</t>
  </si>
  <si>
    <t>0.6790177057163973</t>
  </si>
  <si>
    <t>0.9529783552379352</t>
  </si>
  <si>
    <t>0.44808438131914585</t>
  </si>
  <si>
    <t>0.4521430472735253</t>
  </si>
  <si>
    <t>0.45679177428792533</t>
  </si>
  <si>
    <t>0.46021328412581225</t>
  </si>
  <si>
    <t>0.46155479498327173</t>
  </si>
  <si>
    <t>0.46012275593864077</t>
  </si>
  <si>
    <t>0.4346264002122973</t>
  </si>
  <si>
    <t>0.4223259726598164</t>
  </si>
  <si>
    <t>0.4136009969212478</t>
  </si>
  <si>
    <t>0.4117541398869111</t>
  </si>
  <si>
    <t>0.4251672221308223</t>
  </si>
  <si>
    <t>0.4299034003973567</t>
  </si>
  <si>
    <t>0.43576575409489215</t>
  </si>
  <si>
    <t>0.43372026423417204</t>
  </si>
  <si>
    <t>0.4228050708478909</t>
  </si>
  <si>
    <t>0.41091290386207147</t>
  </si>
  <si>
    <t>0.3933584849436452</t>
  </si>
  <si>
    <t>0.3663260161665289</t>
  </si>
  <si>
    <t>0.33152687798410857</t>
  </si>
  <si>
    <t>0.3064241305864334</t>
  </si>
  <si>
    <t>0.2725858613010383</t>
  </si>
  <si>
    <t>0.26558986059738804</t>
  </si>
  <si>
    <t>0.24108495811711275</t>
  </si>
  <si>
    <t>0.21831937477679347</t>
  </si>
  <si>
    <t>0.20380261446866083</t>
  </si>
  <si>
    <t>0.1866999743648081</t>
  </si>
  <si>
    <t>0.1711874470960999</t>
  </si>
  <si>
    <t>0.18318487470723693</t>
  </si>
  <si>
    <t>0.17572034380583257</t>
  </si>
  <si>
    <t>0.13348554729591516</t>
  </si>
  <si>
    <t>0.12551736635682093</t>
  </si>
  <si>
    <t>0.13388823995143712</t>
  </si>
  <si>
    <t>0.12801739615692861</t>
  </si>
  <si>
    <t>0.12271243251216765</t>
  </si>
  <si>
    <t>0.11088488492499673</t>
  </si>
  <si>
    <t>0.11135080329328569</t>
  </si>
  <si>
    <t>0.11693452972603943</t>
  </si>
  <si>
    <t>0.12856698732482183</t>
  </si>
  <si>
    <t>0.14650554330923898</t>
  </si>
  <si>
    <t>0.1722675830802348</t>
  </si>
  <si>
    <t>0.21007580138658333</t>
  </si>
  <si>
    <t>0.2674043446041798</t>
  </si>
  <si>
    <t>0.35173340465873426</t>
  </si>
  <si>
    <t>0.48225991273994195</t>
  </si>
  <si>
    <t>0.6804751359717068</t>
  </si>
  <si>
    <t>0.9551581478528087</t>
  </si>
  <si>
    <t>0.44815054426859396</t>
  </si>
  <si>
    <t>0.45240035443858273</t>
  </si>
  <si>
    <t>0.4571577460607689</t>
  </si>
  <si>
    <t>0.4609187106046685</t>
  </si>
  <si>
    <t>0.4625247623040847</t>
  </si>
  <si>
    <t>0.46134090704339237</t>
  </si>
  <si>
    <t>0.4565047249444291</t>
  </si>
  <si>
    <t>0.4477273442405915</t>
  </si>
  <si>
    <t>0.43597293024269296</t>
  </si>
  <si>
    <t>0.4234473479660724</t>
  </si>
  <si>
    <t>0.41617915180119247</t>
  </si>
  <si>
    <t>0.4165650032939037</t>
  </si>
  <si>
    <t>0.4236529199864082</t>
  </si>
  <si>
    <t>0.42995077536956483</t>
  </si>
  <si>
    <t>0.42962868323543063</t>
  </si>
  <si>
    <t>0.4279852118267756</t>
  </si>
  <si>
    <t>0.4242515781054916</t>
  </si>
  <si>
    <t>0.4065122951145877</t>
  </si>
  <si>
    <t>0.37443946962905766</t>
  </si>
  <si>
    <t>0.33165531418267674</t>
  </si>
  <si>
    <t>0.31680542864755334</t>
  </si>
  <si>
    <t>0.3077224735552475</t>
  </si>
  <si>
    <t>0.30562177616171265</t>
  </si>
  <si>
    <t>0.2852515125118533</t>
  </si>
  <si>
    <t>0.2436003255740025</t>
  </si>
  <si>
    <t>0.21370865596501443</t>
  </si>
  <si>
    <t>0.20415915897125458</t>
  </si>
  <si>
    <t>0.1807991809198803</t>
  </si>
  <si>
    <t>0.18325104177479953</t>
  </si>
  <si>
    <t>0.1686723379256839</t>
  </si>
  <si>
    <t>0.1428914419000165</t>
  </si>
  <si>
    <t>0.10638121093027705</t>
  </si>
  <si>
    <t>0.12462718716538379</t>
  </si>
  <si>
    <t>0.15355067767614217</t>
  </si>
  <si>
    <t>0.1953866783772118</t>
  </si>
  <si>
    <t>0.2545990706162534</t>
  </si>
  <si>
    <t>0.34247071984099603</t>
  </si>
  <si>
    <t>0.4765761062097008</t>
  </si>
  <si>
    <t>0.6761197249139312</t>
  </si>
  <si>
    <t>0.9506215050997374</t>
  </si>
  <si>
    <t>0.44809314244468174</t>
  </si>
  <si>
    <t>0.45232455642692554</t>
  </si>
  <si>
    <t>0.4570260130335473</t>
  </si>
  <si>
    <t>0.46069521900238986</t>
  </si>
  <si>
    <t>0.46232130592622483</t>
  </si>
  <si>
    <t>0.46122491672680693</t>
  </si>
  <si>
    <t>0.45653853377157827</t>
  </si>
  <si>
    <t>0.44793569470689043</t>
  </si>
  <si>
    <t>0.43616704342946405</t>
  </si>
  <si>
    <t>0.42371690548040447</t>
  </si>
  <si>
    <t>0.4146716034641871</t>
  </si>
  <si>
    <t>0.4136334770325052</t>
  </si>
  <si>
    <t>0.41856457269507413</t>
  </si>
  <si>
    <t>0.42463410245005057</t>
  </si>
  <si>
    <t>0.4309651674632649</t>
  </si>
  <si>
    <t>0.4329814857055207</t>
  </si>
  <si>
    <t>0.43110014105244737</t>
  </si>
  <si>
    <t>0.4235169324032866</t>
  </si>
  <si>
    <t>0.4069695501560195</t>
  </si>
  <si>
    <t>0.3740327637140469</t>
  </si>
  <si>
    <t>0.3398680874116686</t>
  </si>
  <si>
    <t>0.3195925214431026</t>
  </si>
  <si>
    <t>0.2981125308763286</t>
  </si>
  <si>
    <t>0.2802060679423271</t>
  </si>
  <si>
    <t>0.2500516559003959</t>
  </si>
  <si>
    <t>0.22601268699365087</t>
  </si>
  <si>
    <t>0.1988801072301906</t>
  </si>
  <si>
    <t>0.20476163802101702</t>
  </si>
  <si>
    <t>0.22395544911769683</t>
  </si>
  <si>
    <t>0.2055021279481553</t>
  </si>
  <si>
    <t>0.16630491732501476</t>
  </si>
  <si>
    <t>0.12299148401820346</t>
  </si>
  <si>
    <t>0.10527968095704175</t>
  </si>
  <si>
    <t>0.1222881510558157</t>
  </si>
  <si>
    <t>0.14172310912494124</t>
  </si>
  <si>
    <t>0.16126728246880118</t>
  </si>
  <si>
    <t>0.18266724313929442</t>
  </si>
  <si>
    <t>0.21493655341169868</t>
  </si>
  <si>
    <t>0.2681975371697511</t>
  </si>
  <si>
    <t>0.3517406470961808</t>
  </si>
  <si>
    <t>0.4807778834961525</t>
  </si>
  <si>
    <t>0.6770875320501848</t>
  </si>
  <si>
    <t>0.9508955003395484</t>
  </si>
  <si>
    <t>0.4481715261597208</t>
  </si>
  <si>
    <t>0.45222526084063824</t>
  </si>
  <si>
    <t>0.4568331794567751</t>
  </si>
  <si>
    <t>0.4604455543152306</t>
  </si>
  <si>
    <t>0.46202084058584414</t>
  </si>
  <si>
    <t>0.46081531009949095</t>
  </si>
  <si>
    <t>0.4559889740387178</t>
  </si>
  <si>
    <t>0.4472469517867397</t>
  </si>
  <si>
    <t>0.4355778968858039</t>
  </si>
  <si>
    <t>0.42338871279818024</t>
  </si>
  <si>
    <t>0.4148002647186836</t>
  </si>
  <si>
    <t>0.41306917268792886</t>
  </si>
  <si>
    <t>0.4166175230894159</t>
  </si>
  <si>
    <t>0.42354671976352265</t>
  </si>
  <si>
    <t>0.4316076267182497</t>
  </si>
  <si>
    <t>0.43365026489590663</t>
  </si>
  <si>
    <t>0.42239990666575666</t>
  </si>
  <si>
    <t>0.3955067235888159</t>
  </si>
  <si>
    <t>0.3713370346440683</t>
  </si>
  <si>
    <t>0.35397067903856444</t>
  </si>
  <si>
    <t>0.3421478360922309</t>
  </si>
  <si>
    <t>0.32178269143778937</t>
  </si>
  <si>
    <t>0.29244584998824585</t>
  </si>
  <si>
    <t>0.27648978802082436</t>
  </si>
  <si>
    <t>0.2062352507482129</t>
  </si>
  <si>
    <t>0.1633936076195761</t>
  </si>
  <si>
    <t>0.15524511448213113</t>
  </si>
  <si>
    <t>0.15983909074972866</t>
  </si>
  <si>
    <t>0.15598301834551606</t>
  </si>
  <si>
    <t>0.14067765784822378</t>
  </si>
  <si>
    <t>0.12554997590429878</t>
  </si>
  <si>
    <t>0.13884073749074116</t>
  </si>
  <si>
    <t>0.12829424664774527</t>
  </si>
  <si>
    <t>0.10580087333873998</t>
  </si>
  <si>
    <t>0.11264296216541404</t>
  </si>
  <si>
    <t>0.1427063556935391</t>
  </si>
  <si>
    <t>0.17780955911257976</t>
  </si>
  <si>
    <t>0.21997608930517878</t>
  </si>
  <si>
    <t>0.27652707539734694</t>
  </si>
  <si>
    <t>0.35892758081748183</t>
  </si>
  <si>
    <t>0.48834809443060184</t>
  </si>
  <si>
    <t>0.6842883373500458</t>
  </si>
  <si>
    <t>0.44834887630146425</t>
  </si>
  <si>
    <t>0.4522115785316582</t>
  </si>
  <si>
    <t>0.45667757134056025</t>
  </si>
  <si>
    <t>0.4601731665776009</t>
  </si>
  <si>
    <t>0.4616923987426802</t>
  </si>
  <si>
    <t>0.4605202384123091</t>
  </si>
  <si>
    <t>0.45576749116770754</t>
  </si>
  <si>
    <t>0.44687418012631963</t>
  </si>
  <si>
    <t>0.4346942243571796</t>
  </si>
  <si>
    <t>0.4219525280080687</t>
  </si>
  <si>
    <t>0.41187773714597636</t>
  </si>
  <si>
    <t>0.4186255388227168</t>
  </si>
  <si>
    <t>0.4274917708637793</t>
  </si>
  <si>
    <t>0.43210546437465935</t>
  </si>
  <si>
    <t>0.43006182122671616</t>
  </si>
  <si>
    <t>0.3981009806778803</t>
  </si>
  <si>
    <t>0.38378081140449166</t>
  </si>
  <si>
    <t>0.3606461772668053</t>
  </si>
  <si>
    <t>0.33143246836682494</t>
  </si>
  <si>
    <t>0.3182713691211512</t>
  </si>
  <si>
    <t>0.3007385724988215</t>
  </si>
  <si>
    <t>0.2623452747480122</t>
  </si>
  <si>
    <t>0.2172319521877479</t>
  </si>
  <si>
    <t>0.19157066140985682</t>
  </si>
  <si>
    <t>0.19385563825272145</t>
  </si>
  <si>
    <t>0.20070675351728948</t>
  </si>
  <si>
    <t>0.17889446945853305</t>
  </si>
  <si>
    <t>0.1590827263329366</t>
  </si>
  <si>
    <t>0.14263917399666193</t>
  </si>
  <si>
    <t>0.12933416105654374</t>
  </si>
  <si>
    <t>0.12954701619836714</t>
  </si>
  <si>
    <t>0.11580181025845883</t>
  </si>
  <si>
    <t>0.10707932294809348</t>
  </si>
  <si>
    <t>0.11348457530989134</t>
  </si>
  <si>
    <t>0.11674599685016013</t>
  </si>
  <si>
    <t>0.12352816536435121</t>
  </si>
  <si>
    <t>0.13872835448833234</t>
  </si>
  <si>
    <t>0.14384689968772388</t>
  </si>
  <si>
    <t>0.1537231185204493</t>
  </si>
  <si>
    <t>0.1754017236595912</t>
  </si>
  <si>
    <t>0.21136986140939393</t>
  </si>
  <si>
    <t>0.26614869608661035</t>
  </si>
  <si>
    <t>0.3511773753361683</t>
  </si>
  <si>
    <t>0.48114161845249886</t>
  </si>
  <si>
    <t>0.6794545552723597</t>
  </si>
  <si>
    <t>0.9526716722128564</t>
  </si>
  <si>
    <t>Time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</si>
</sst>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>
    <font>
      <sz val="12"/>
      <color theme="1"/>
      <name val="Aptos Narrow"/>
      <family val="2"/>
      <scheme val="minor"/>
    </font>
    <font>
      <sz val="12"/>
      <color rgb="FFFF0000"/>
      <name val="Aptos Narrow"/>
      <family val="2"/>
      <scheme val="minor"/>
    </font>
    <font>
      <b/>
      <sz val="12"/>
      <color theme="1"/>
      <name val="Aptos Narrow"/>
      <scheme val="minor"/>
    </font>
    <font>
      <sz val="8"/>
      <name val="Aptos Narrow"/>
      <family val="2"/>
      <scheme val="minor"/>
    </font>
    <font>
      <sz val="12"/>
      <name val="Aptos Narrow"/>
      <scheme val="minor"/>
    </font>
    <font>
      <b/>
      <sz val="12"/>
      <name val="Aptos Narrow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xfId="0"/>
    <xf numFmtId="0" fontId="0" fillId="0" borderId="0" xfId="0" applyAlignment="1">
      <alignment horizontal="center"/>
    </xf>
    <xf numFmtId="0" fontId="0" fillId="2" borderId="0" xfId="0" applyFill="1"/>
    <xf numFmtId="0" fontId="2" fillId="0" borderId="0" xfId="0" applyFont="1" applyAlignment="1">
      <alignment horizontal="center"/>
    </xf>
    <xf numFmtId="0" fontId="0" fillId="2" borderId="0" xfId="0" applyFill="1" applyAlignment="1">
      <alignment horizontal="center"/>
    </xf>
    <xf numFmtId="0" fontId="2" fillId="3" borderId="0" xfId="0" applyFont="1" applyFill="1" applyAlignment="1">
      <alignment horizontal="center"/>
    </xf>
    <xf numFmtId="0" fontId="2" fillId="4" borderId="0" xfId="0" applyFont="1" applyFill="1" applyAlignment="1">
      <alignment horizontal="center"/>
    </xf>
    <xf numFmtId="0" fontId="0" fillId="4" borderId="0" xfId="0" applyFill="1" applyAlignment="1">
      <alignment horizontal="center"/>
    </xf>
    <xf numFmtId="0" fontId="1" fillId="0" borderId="0" xfId="0" applyFont="1" applyAlignment="1">
      <alignment horizontal="center"/>
    </xf>
    <xf numFmtId="0" fontId="4" fillId="2" borderId="0" xfId="0" applyFont="1" applyFill="1" applyAlignment="1">
      <alignment horizontal="center"/>
    </xf>
    <xf numFmtId="0" fontId="5" fillId="2" borderId="0" xfId="0" applyFont="1" applyFill="1" applyAlignment="1">
      <alignment horizontal="center"/>
    </xf>
    <xf numFmtId="0" fontId="2" fillId="0" borderId="0" xfId="0" applyFont="1"/>
    <xf numFmtId="0" fontId="0" fillId="0" borderId="0" xfId="0" quotePrefix="1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2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0"/>
          <c:tx>
            <c:strRef>
              <c:f>Sheet2!$C$1</c:f>
              <c:strCache>
                <c:ptCount val="1"/>
                <c:pt idx="0">
                  <c:v>peak systolic WSS 95th percentile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Sheet2!$B$2:$B$21</c:f>
              <c:numCache>
                <c:formatCode>General</c:formatCode>
                <c:ptCount val="20"/>
                <c:pt idx="0">
                  <c:v>21965</c:v>
                </c:pt>
                <c:pt idx="1">
                  <c:v>58331</c:v>
                </c:pt>
                <c:pt idx="2">
                  <c:v>151117</c:v>
                </c:pt>
                <c:pt idx="3">
                  <c:v>157610</c:v>
                </c:pt>
                <c:pt idx="4">
                  <c:v>296487</c:v>
                </c:pt>
                <c:pt idx="5">
                  <c:v>428382</c:v>
                </c:pt>
                <c:pt idx="6">
                  <c:v>595485</c:v>
                </c:pt>
                <c:pt idx="7">
                  <c:v>1177293</c:v>
                </c:pt>
                <c:pt idx="8">
                  <c:v>1220884</c:v>
                </c:pt>
                <c:pt idx="9">
                  <c:v>1243839</c:v>
                </c:pt>
                <c:pt idx="10">
                  <c:v>1286599</c:v>
                </c:pt>
                <c:pt idx="11">
                  <c:v>1286599</c:v>
                </c:pt>
                <c:pt idx="12">
                  <c:v>1286599</c:v>
                </c:pt>
                <c:pt idx="13">
                  <c:v>1286599</c:v>
                </c:pt>
                <c:pt idx="14">
                  <c:v>1286599</c:v>
                </c:pt>
                <c:pt idx="15">
                  <c:v>1992665</c:v>
                </c:pt>
                <c:pt idx="16">
                  <c:v>2310697</c:v>
                </c:pt>
                <c:pt idx="17">
                  <c:v>2745843</c:v>
                </c:pt>
                <c:pt idx="18">
                  <c:v>4017746</c:v>
                </c:pt>
                <c:pt idx="19">
                  <c:v>5694124</c:v>
                </c:pt>
              </c:numCache>
            </c:numRef>
          </c:xVal>
          <c:yVal>
            <c:numRef>
              <c:f>Sheet2!$C$2:$C$21</c:f>
              <c:numCache>
                <c:formatCode>General</c:formatCode>
                <c:ptCount val="20"/>
                <c:pt idx="0">
                  <c:v>3.2915860000000001</c:v>
                </c:pt>
                <c:pt idx="1">
                  <c:v>3.9423170000000001</c:v>
                </c:pt>
                <c:pt idx="2">
                  <c:v>6.5159880000000001</c:v>
                </c:pt>
                <c:pt idx="3">
                  <c:v>3.9705430000000002</c:v>
                </c:pt>
                <c:pt idx="4">
                  <c:v>7.0205950000000001</c:v>
                </c:pt>
                <c:pt idx="5">
                  <c:v>4.267023</c:v>
                </c:pt>
                <c:pt idx="6">
                  <c:v>7.0192310000000004</c:v>
                </c:pt>
                <c:pt idx="7">
                  <c:v>4.4426329999999998</c:v>
                </c:pt>
                <c:pt idx="8">
                  <c:v>4.5467500000000003</c:v>
                </c:pt>
                <c:pt idx="9">
                  <c:v>6.8439560000000004</c:v>
                </c:pt>
                <c:pt idx="10">
                  <c:v>4.7272990000000004</c:v>
                </c:pt>
                <c:pt idx="11">
                  <c:v>4.7272990000000004</c:v>
                </c:pt>
                <c:pt idx="12">
                  <c:v>4.7272990000000004</c:v>
                </c:pt>
                <c:pt idx="13">
                  <c:v>4.7272990000000004</c:v>
                </c:pt>
                <c:pt idx="14">
                  <c:v>4.7272990000000004</c:v>
                </c:pt>
                <c:pt idx="15">
                  <c:v>6.588838</c:v>
                </c:pt>
                <c:pt idx="16">
                  <c:v>6.7146840000000001</c:v>
                </c:pt>
                <c:pt idx="17">
                  <c:v>6.5650180000000002</c:v>
                </c:pt>
                <c:pt idx="18">
                  <c:v>6.2175349999999998</c:v>
                </c:pt>
                <c:pt idx="19">
                  <c:v>5.9190529999999999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A643-D846-81CF-77B2B97A6FB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12431856"/>
        <c:axId val="812433568"/>
      </c:scatterChart>
      <c:valAx>
        <c:axId val="812431856"/>
        <c:scaling>
          <c:orientation val="minMax"/>
          <c:min val="100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0E+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12433568"/>
        <c:crosses val="autoZero"/>
        <c:crossBetween val="midCat"/>
      </c:valAx>
      <c:valAx>
        <c:axId val="812433568"/>
        <c:scaling>
          <c:orientation val="minMax"/>
          <c:min val="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1243185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0"/>
          <c:tx>
            <c:strRef>
              <c:f>Sheet2!$C$1</c:f>
              <c:strCache>
                <c:ptCount val="1"/>
                <c:pt idx="0">
                  <c:v>peak systolic WSS 95th percentile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Sheet2!$E$2:$E$21</c:f>
              <c:numCache>
                <c:formatCode>General</c:formatCode>
                <c:ptCount val="20"/>
                <c:pt idx="0">
                  <c:v>4.341731207601339</c:v>
                </c:pt>
                <c:pt idx="1">
                  <c:v>4.7658994218399107</c:v>
                </c:pt>
                <c:pt idx="2">
                  <c:v>5.1793133233125452</c:v>
                </c:pt>
                <c:pt idx="3">
                  <c:v>5.1975837690357771</c:v>
                </c:pt>
                <c:pt idx="4">
                  <c:v>5.4720056557035237</c:v>
                </c:pt>
                <c:pt idx="5">
                  <c:v>5.6318312141091464</c:v>
                </c:pt>
                <c:pt idx="6">
                  <c:v>5.7748708262734132</c:v>
                </c:pt>
                <c:pt idx="7">
                  <c:v>6.0708845617791702</c:v>
                </c:pt>
                <c:pt idx="8">
                  <c:v>6.0866744022306172</c:v>
                </c:pt>
                <c:pt idx="9">
                  <c:v>6.0947641697948045</c:v>
                </c:pt>
                <c:pt idx="10">
                  <c:v>6.1094432095121567</c:v>
                </c:pt>
                <c:pt idx="11">
                  <c:v>6.1094432095121567</c:v>
                </c:pt>
                <c:pt idx="12">
                  <c:v>6.1094432095121567</c:v>
                </c:pt>
                <c:pt idx="13">
                  <c:v>6.1094432095121567</c:v>
                </c:pt>
                <c:pt idx="14">
                  <c:v>6.1094432095121567</c:v>
                </c:pt>
                <c:pt idx="15">
                  <c:v>6.2994342927394849</c:v>
                </c:pt>
                <c:pt idx="16">
                  <c:v>6.3637430004962576</c:v>
                </c:pt>
                <c:pt idx="17">
                  <c:v>6.438675701807175</c:v>
                </c:pt>
                <c:pt idx="18">
                  <c:v>6.6039824773885298</c:v>
                </c:pt>
                <c:pt idx="19">
                  <c:v>6.7554269204732798</c:v>
                </c:pt>
              </c:numCache>
            </c:numRef>
          </c:xVal>
          <c:yVal>
            <c:numRef>
              <c:f>Sheet2!$D$2:$D$21</c:f>
              <c:numCache>
                <c:formatCode>General</c:formatCode>
                <c:ptCount val="20"/>
                <c:pt idx="0">
                  <c:v>-44.389989412157647</c:v>
                </c:pt>
                <c:pt idx="1">
                  <c:v>-33.396153067053127</c:v>
                </c:pt>
                <c:pt idx="2">
                  <c:v>10.084974741736561</c:v>
                </c:pt>
                <c:pt idx="3">
                  <c:v>-32.919286243931246</c:v>
                </c:pt>
                <c:pt idx="4">
                  <c:v>18.610105366517249</c:v>
                </c:pt>
                <c:pt idx="5">
                  <c:v>-27.910376879544753</c:v>
                </c:pt>
                <c:pt idx="6">
                  <c:v>18.587061139678944</c:v>
                </c:pt>
                <c:pt idx="7">
                  <c:v>-24.943517147084172</c:v>
                </c:pt>
                <c:pt idx="8">
                  <c:v>-23.184502656083662</c:v>
                </c:pt>
                <c:pt idx="9">
                  <c:v>15.625861096361199</c:v>
                </c:pt>
                <c:pt idx="10">
                  <c:v>-20.134200521603702</c:v>
                </c:pt>
                <c:pt idx="11">
                  <c:v>-20.134200521603702</c:v>
                </c:pt>
                <c:pt idx="12">
                  <c:v>-20.134200521603702</c:v>
                </c:pt>
                <c:pt idx="13">
                  <c:v>-20.134200521603702</c:v>
                </c:pt>
                <c:pt idx="14">
                  <c:v>-20.134200521603702</c:v>
                </c:pt>
                <c:pt idx="15">
                  <c:v>11.315745947873758</c:v>
                </c:pt>
                <c:pt idx="16">
                  <c:v>13.441863081813935</c:v>
                </c:pt>
                <c:pt idx="17">
                  <c:v>10.913316707926088</c:v>
                </c:pt>
                <c:pt idx="18">
                  <c:v>5.0427323424878931</c:v>
                </c:pt>
                <c:pt idx="19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3B1-004D-A9A5-EBAD1490B73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12431856"/>
        <c:axId val="812433568"/>
      </c:scatterChart>
      <c:valAx>
        <c:axId val="81243185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0E+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12433568"/>
        <c:crosses val="autoZero"/>
        <c:crossBetween val="midCat"/>
      </c:valAx>
      <c:valAx>
        <c:axId val="8124335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1243185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67735</xdr:colOff>
      <xdr:row>1</xdr:row>
      <xdr:rowOff>177799</xdr:rowOff>
    </xdr:from>
    <xdr:to>
      <xdr:col>13</xdr:col>
      <xdr:colOff>457201</xdr:colOff>
      <xdr:row>26</xdr:row>
      <xdr:rowOff>59266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5E8F7129-A523-778D-E097-FED2ED7C3D0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13</xdr:col>
      <xdr:colOff>584199</xdr:colOff>
      <xdr:row>1</xdr:row>
      <xdr:rowOff>186268</xdr:rowOff>
    </xdr:from>
    <xdr:to>
      <xdr:col>21</xdr:col>
      <xdr:colOff>143931</xdr:colOff>
      <xdr:row>26</xdr:row>
      <xdr:rowOff>67735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68B737F6-FBC2-9344-ACA8-86689554445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232063</xdr:colOff>
      <xdr:row>13</xdr:row>
      <xdr:rowOff>143947</xdr:rowOff>
    </xdr:from>
    <xdr:to>
      <xdr:col>3</xdr:col>
      <xdr:colOff>784966</xdr:colOff>
      <xdr:row>24</xdr:row>
      <xdr:rowOff>179622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151BE31-87BF-95FA-0B65-AF17125D5D8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32063" y="2745523"/>
          <a:ext cx="3023630" cy="223700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705C37-73D0-FD4B-88A0-04E6AB763232}">
  <dimension ref="A2:Q37"/>
  <sheetViews>
    <sheetView topLeftCell="D20" zoomScale="150" workbookViewId="0">
      <selection activeCell="O8" sqref="O8"/>
    </sheetView>
  </sheetViews>
  <sheetFormatPr baseColWidth="10" defaultRowHeight="16"/>
  <cols>
    <col min="1" max="3" width="10.83203125" style="1"/>
    <col min="4" max="4" width="14" bestFit="1" customWidth="1"/>
    <col min="5" max="5" width="13" bestFit="1" customWidth="1"/>
    <col min="15" max="15" width="13.6640625" style="3" bestFit="1" customWidth="1"/>
    <col min="16" max="16" width="37.83203125" style="1" bestFit="1" customWidth="1"/>
    <col min="17" max="17" width="10.83203125" style="1"/>
  </cols>
  <sheetData>
    <row r="2" spans="1:17">
      <c r="C2" s="1" t="s">
        <v>6</v>
      </c>
      <c r="D2" s="13" t="s">
        <v>12</v>
      </c>
      <c r="E2" s="13"/>
      <c r="F2" s="13"/>
      <c r="G2" s="13"/>
      <c r="H2" s="13"/>
      <c r="I2" s="13"/>
      <c r="J2" s="13"/>
      <c r="K2" s="13"/>
      <c r="L2" s="13"/>
      <c r="M2" s="13"/>
      <c r="N2" s="13"/>
    </row>
    <row r="3" spans="1:17">
      <c r="C3" s="1" t="s">
        <v>0</v>
      </c>
      <c r="D3" s="1" t="s">
        <v>9</v>
      </c>
      <c r="E3" s="1" t="s">
        <v>10</v>
      </c>
      <c r="F3" s="13" t="s">
        <v>1</v>
      </c>
      <c r="G3" s="13"/>
      <c r="H3" s="13"/>
      <c r="I3" s="13" t="s">
        <v>7</v>
      </c>
      <c r="J3" s="13"/>
      <c r="K3" s="13"/>
      <c r="L3" s="13" t="s">
        <v>8</v>
      </c>
      <c r="M3" s="13"/>
      <c r="N3" s="13"/>
      <c r="O3" s="3" t="s">
        <v>11</v>
      </c>
      <c r="Q3" s="1" t="s">
        <v>37</v>
      </c>
    </row>
    <row r="4" spans="1:17">
      <c r="D4" s="1"/>
      <c r="E4" s="1"/>
      <c r="F4" s="1" t="s">
        <v>2</v>
      </c>
      <c r="G4" s="1" t="s">
        <v>3</v>
      </c>
      <c r="H4" s="1" t="s">
        <v>4</v>
      </c>
      <c r="I4" s="1" t="s">
        <v>2</v>
      </c>
      <c r="J4" s="1" t="s">
        <v>3</v>
      </c>
      <c r="K4" s="1" t="s">
        <v>4</v>
      </c>
      <c r="L4" s="1" t="s">
        <v>2</v>
      </c>
      <c r="M4" s="1" t="s">
        <v>3</v>
      </c>
      <c r="N4" s="1" t="s">
        <v>4</v>
      </c>
    </row>
    <row r="5" spans="1:17">
      <c r="D5" s="1"/>
      <c r="E5" s="1"/>
      <c r="F5" s="1"/>
      <c r="G5" s="1"/>
      <c r="H5" s="1"/>
      <c r="I5" s="1"/>
      <c r="J5" s="1"/>
      <c r="K5" s="1"/>
      <c r="L5" s="1"/>
      <c r="M5" s="1"/>
      <c r="N5" s="1"/>
    </row>
    <row r="6" spans="1:17">
      <c r="A6" s="14" t="s">
        <v>25</v>
      </c>
      <c r="B6" s="1" t="s">
        <v>15</v>
      </c>
      <c r="C6" s="1" t="s">
        <v>5</v>
      </c>
      <c r="D6" s="1">
        <v>10000000</v>
      </c>
      <c r="E6" s="1">
        <v>10000000</v>
      </c>
      <c r="F6" s="1">
        <v>0</v>
      </c>
      <c r="G6" s="1">
        <v>0</v>
      </c>
      <c r="H6" s="1">
        <v>0</v>
      </c>
      <c r="I6" s="1" t="s">
        <v>16</v>
      </c>
      <c r="J6" s="1" t="s">
        <v>16</v>
      </c>
      <c r="K6" s="1" t="s">
        <v>13</v>
      </c>
      <c r="L6" s="1">
        <v>0</v>
      </c>
      <c r="M6" s="1">
        <v>0</v>
      </c>
      <c r="N6" s="1">
        <v>5</v>
      </c>
      <c r="O6" s="3">
        <v>1286599</v>
      </c>
      <c r="Q6" s="1">
        <v>4.7272990000000004</v>
      </c>
    </row>
    <row r="7" spans="1:17">
      <c r="A7" s="14"/>
      <c r="B7" s="1" t="s">
        <v>17</v>
      </c>
      <c r="C7" s="1" t="s">
        <v>5</v>
      </c>
      <c r="D7" s="1">
        <v>10000000</v>
      </c>
      <c r="E7" s="1">
        <v>10000000</v>
      </c>
      <c r="F7" s="1">
        <v>0</v>
      </c>
      <c r="G7" s="1">
        <v>0</v>
      </c>
      <c r="H7" s="1">
        <v>0</v>
      </c>
      <c r="I7" s="1" t="s">
        <v>16</v>
      </c>
      <c r="J7" s="1" t="s">
        <v>16</v>
      </c>
      <c r="K7" s="1" t="s">
        <v>14</v>
      </c>
      <c r="L7" s="1">
        <v>0</v>
      </c>
      <c r="M7" s="1">
        <v>0</v>
      </c>
      <c r="N7" s="1">
        <v>5</v>
      </c>
      <c r="O7" s="3">
        <v>1286599</v>
      </c>
      <c r="Q7" s="1">
        <v>4.7272990000000004</v>
      </c>
    </row>
    <row r="8" spans="1:17" s="2" customFormat="1">
      <c r="A8" s="14"/>
      <c r="B8" s="4" t="s">
        <v>23</v>
      </c>
      <c r="C8" s="4" t="s">
        <v>5</v>
      </c>
      <c r="D8" s="4">
        <v>10000000</v>
      </c>
      <c r="E8" s="4">
        <v>10000000</v>
      </c>
      <c r="F8" s="4">
        <v>0</v>
      </c>
      <c r="G8" s="4">
        <v>0</v>
      </c>
      <c r="H8" s="4">
        <v>0</v>
      </c>
      <c r="I8" s="4" t="s">
        <v>13</v>
      </c>
      <c r="J8" s="4" t="s">
        <v>13</v>
      </c>
      <c r="K8" s="4" t="s">
        <v>14</v>
      </c>
      <c r="L8" s="4">
        <v>0</v>
      </c>
      <c r="M8" s="4">
        <v>0</v>
      </c>
      <c r="N8" s="4">
        <v>5</v>
      </c>
      <c r="O8" s="5">
        <v>1286599</v>
      </c>
      <c r="P8" s="4">
        <v>3</v>
      </c>
      <c r="Q8" s="4">
        <v>4.7272990000000004</v>
      </c>
    </row>
    <row r="9" spans="1:17">
      <c r="A9" s="14"/>
      <c r="B9" s="1" t="s">
        <v>18</v>
      </c>
      <c r="C9" s="1" t="s">
        <v>5</v>
      </c>
      <c r="D9" s="1">
        <v>10000000</v>
      </c>
      <c r="E9" s="1">
        <v>10000000</v>
      </c>
      <c r="F9" s="1">
        <v>0</v>
      </c>
      <c r="G9" s="1">
        <v>0</v>
      </c>
      <c r="H9" s="1">
        <v>0</v>
      </c>
      <c r="I9" s="1" t="s">
        <v>14</v>
      </c>
      <c r="J9" s="1" t="s">
        <v>14</v>
      </c>
      <c r="K9" s="1" t="s">
        <v>19</v>
      </c>
      <c r="L9" s="1">
        <v>0</v>
      </c>
      <c r="M9" s="1">
        <v>0</v>
      </c>
      <c r="N9" s="1">
        <v>5</v>
      </c>
      <c r="O9" s="3">
        <v>1286599</v>
      </c>
      <c r="Q9" s="1">
        <v>4.7272990000000004</v>
      </c>
    </row>
    <row r="10" spans="1:17">
      <c r="A10" s="14"/>
      <c r="B10" s="1" t="s">
        <v>20</v>
      </c>
      <c r="C10" s="1" t="s">
        <v>5</v>
      </c>
      <c r="D10" s="1">
        <v>10000000</v>
      </c>
      <c r="E10" s="1">
        <v>10000000</v>
      </c>
      <c r="F10" s="1">
        <v>0</v>
      </c>
      <c r="G10" s="1">
        <v>0</v>
      </c>
      <c r="H10" s="1">
        <v>1</v>
      </c>
      <c r="I10" s="1" t="s">
        <v>19</v>
      </c>
      <c r="J10" s="1" t="s">
        <v>19</v>
      </c>
      <c r="K10" s="1" t="s">
        <v>21</v>
      </c>
      <c r="L10" s="1">
        <v>0</v>
      </c>
      <c r="M10" s="1">
        <v>0</v>
      </c>
      <c r="N10" s="1">
        <v>5</v>
      </c>
      <c r="O10" s="3">
        <v>1286599</v>
      </c>
      <c r="Q10" s="1">
        <v>4.7272990000000004</v>
      </c>
    </row>
    <row r="12" spans="1:17">
      <c r="A12" s="14" t="s">
        <v>26</v>
      </c>
      <c r="B12" s="1" t="s">
        <v>15</v>
      </c>
      <c r="C12" s="1" t="s">
        <v>5</v>
      </c>
      <c r="D12" s="1">
        <v>10000000</v>
      </c>
      <c r="E12" s="1">
        <v>10000000</v>
      </c>
      <c r="F12" s="1">
        <v>0</v>
      </c>
      <c r="G12" s="1">
        <v>0</v>
      </c>
      <c r="H12" s="1">
        <v>0</v>
      </c>
      <c r="I12" s="1" t="s">
        <v>16</v>
      </c>
      <c r="J12" s="1" t="s">
        <v>16</v>
      </c>
      <c r="K12" s="1" t="s">
        <v>16</v>
      </c>
      <c r="L12" s="1">
        <v>0</v>
      </c>
      <c r="M12" s="1">
        <v>0</v>
      </c>
      <c r="N12" s="1">
        <v>2</v>
      </c>
      <c r="O12" s="3">
        <v>1177293</v>
      </c>
      <c r="Q12" s="1">
        <v>4.4426329999999998</v>
      </c>
    </row>
    <row r="13" spans="1:17">
      <c r="A13" s="14"/>
      <c r="B13" s="1" t="s">
        <v>17</v>
      </c>
      <c r="C13" s="1" t="s">
        <v>5</v>
      </c>
      <c r="D13" s="1">
        <v>10000000</v>
      </c>
      <c r="E13" s="1">
        <v>10000000</v>
      </c>
      <c r="F13" s="1">
        <v>0</v>
      </c>
      <c r="G13" s="1">
        <v>0</v>
      </c>
      <c r="H13" s="1">
        <v>0</v>
      </c>
      <c r="I13" s="1" t="s">
        <v>16</v>
      </c>
      <c r="J13" s="1" t="s">
        <v>16</v>
      </c>
      <c r="K13" s="1" t="s">
        <v>13</v>
      </c>
      <c r="L13" s="1">
        <v>0</v>
      </c>
      <c r="M13" s="1">
        <v>0</v>
      </c>
      <c r="N13" s="1">
        <v>3</v>
      </c>
      <c r="O13" s="3">
        <v>1220884</v>
      </c>
      <c r="Q13" s="1">
        <v>4.5467500000000003</v>
      </c>
    </row>
    <row r="14" spans="1:17">
      <c r="A14" s="14"/>
      <c r="B14" s="7" t="s">
        <v>22</v>
      </c>
      <c r="C14" s="7" t="s">
        <v>5</v>
      </c>
      <c r="D14" s="7">
        <v>20000000</v>
      </c>
      <c r="E14" s="7">
        <v>20000000</v>
      </c>
      <c r="F14" s="7">
        <v>0</v>
      </c>
      <c r="G14" s="7">
        <v>0</v>
      </c>
      <c r="H14" s="7">
        <v>0</v>
      </c>
      <c r="I14" s="7" t="s">
        <v>13</v>
      </c>
      <c r="J14" s="7" t="s">
        <v>13</v>
      </c>
      <c r="K14" s="7" t="s">
        <v>14</v>
      </c>
      <c r="L14" s="7">
        <v>0</v>
      </c>
      <c r="M14" s="7">
        <v>0</v>
      </c>
      <c r="N14" s="7">
        <v>5</v>
      </c>
      <c r="O14" s="6">
        <v>2745843</v>
      </c>
      <c r="P14" s="7">
        <v>5</v>
      </c>
      <c r="Q14" s="7">
        <v>6.5650180000000002</v>
      </c>
    </row>
    <row r="15" spans="1:17">
      <c r="A15" s="14"/>
      <c r="B15" s="1" t="s">
        <v>18</v>
      </c>
      <c r="C15" s="1" t="s">
        <v>5</v>
      </c>
      <c r="D15" s="1">
        <v>20000000</v>
      </c>
      <c r="E15" s="1">
        <v>20000000</v>
      </c>
      <c r="F15" s="1">
        <v>0</v>
      </c>
      <c r="G15" s="1">
        <v>0</v>
      </c>
      <c r="H15" s="1">
        <v>0</v>
      </c>
      <c r="I15" s="1" t="s">
        <v>14</v>
      </c>
      <c r="J15" s="1" t="s">
        <v>14</v>
      </c>
      <c r="K15" s="1" t="s">
        <v>19</v>
      </c>
      <c r="L15" s="1">
        <v>0</v>
      </c>
      <c r="M15" s="1">
        <v>0</v>
      </c>
      <c r="N15" s="1">
        <v>5</v>
      </c>
      <c r="O15" s="3">
        <v>8670518</v>
      </c>
      <c r="P15" s="8" t="s">
        <v>24</v>
      </c>
    </row>
    <row r="17" spans="1:17">
      <c r="A17" s="14" t="s">
        <v>27</v>
      </c>
      <c r="B17" s="1" t="s">
        <v>15</v>
      </c>
      <c r="C17" s="1" t="s">
        <v>28</v>
      </c>
      <c r="D17" s="1">
        <v>20000000</v>
      </c>
      <c r="E17" s="1">
        <v>20000000</v>
      </c>
      <c r="F17" s="1">
        <v>0</v>
      </c>
      <c r="G17" s="1">
        <v>0</v>
      </c>
      <c r="H17" s="1">
        <v>0</v>
      </c>
      <c r="I17" s="1" t="s">
        <v>16</v>
      </c>
      <c r="J17" s="1" t="s">
        <v>16</v>
      </c>
      <c r="K17" s="1" t="s">
        <v>16</v>
      </c>
      <c r="L17" s="1">
        <v>0</v>
      </c>
      <c r="M17" s="1">
        <v>0</v>
      </c>
      <c r="N17" s="1">
        <v>2</v>
      </c>
      <c r="O17" s="3">
        <v>21965</v>
      </c>
      <c r="Q17" s="1">
        <v>3.2915860000000001</v>
      </c>
    </row>
    <row r="18" spans="1:17">
      <c r="A18" s="14"/>
      <c r="B18" s="1" t="s">
        <v>17</v>
      </c>
      <c r="C18" s="1" t="s">
        <v>28</v>
      </c>
      <c r="D18" s="1">
        <v>20000000</v>
      </c>
      <c r="E18" s="1">
        <v>20000000</v>
      </c>
      <c r="F18" s="1">
        <v>0</v>
      </c>
      <c r="G18" s="1">
        <v>0</v>
      </c>
      <c r="H18" s="1">
        <v>0</v>
      </c>
      <c r="I18" s="1" t="s">
        <v>13</v>
      </c>
      <c r="J18" s="1" t="s">
        <v>13</v>
      </c>
      <c r="K18" s="1" t="s">
        <v>14</v>
      </c>
      <c r="L18" s="1">
        <v>0</v>
      </c>
      <c r="M18" s="1">
        <v>0</v>
      </c>
      <c r="N18" s="1">
        <v>5</v>
      </c>
      <c r="O18" s="3">
        <v>151117</v>
      </c>
      <c r="Q18" s="1">
        <v>6.5159880000000001</v>
      </c>
    </row>
    <row r="19" spans="1:17">
      <c r="A19" s="14"/>
      <c r="B19" s="1" t="s">
        <v>23</v>
      </c>
      <c r="C19" s="1" t="s">
        <v>29</v>
      </c>
      <c r="D19" s="1">
        <v>20000000</v>
      </c>
      <c r="E19" s="1">
        <v>20000000</v>
      </c>
      <c r="F19" s="1">
        <v>0</v>
      </c>
      <c r="G19" s="1">
        <v>0</v>
      </c>
      <c r="H19" s="1">
        <v>0</v>
      </c>
      <c r="I19" s="1" t="s">
        <v>16</v>
      </c>
      <c r="J19" s="1" t="s">
        <v>16</v>
      </c>
      <c r="K19" s="1" t="s">
        <v>16</v>
      </c>
      <c r="L19" s="1">
        <v>0</v>
      </c>
      <c r="M19" s="1">
        <v>0</v>
      </c>
      <c r="N19" s="1">
        <v>2</v>
      </c>
      <c r="O19" s="3">
        <v>58331</v>
      </c>
      <c r="Q19" s="1">
        <v>3.9423170000000001</v>
      </c>
    </row>
    <row r="20" spans="1:17">
      <c r="A20" s="14"/>
      <c r="B20" s="7" t="s">
        <v>18</v>
      </c>
      <c r="C20" s="7" t="s">
        <v>29</v>
      </c>
      <c r="D20" s="7">
        <v>20000000</v>
      </c>
      <c r="E20" s="7">
        <v>20000000</v>
      </c>
      <c r="F20" s="7">
        <v>0</v>
      </c>
      <c r="G20" s="7">
        <v>0</v>
      </c>
      <c r="H20" s="7">
        <v>0</v>
      </c>
      <c r="I20" s="7" t="s">
        <v>13</v>
      </c>
      <c r="J20" s="7" t="s">
        <v>13</v>
      </c>
      <c r="K20" s="7" t="s">
        <v>14</v>
      </c>
      <c r="L20" s="7">
        <v>0</v>
      </c>
      <c r="M20" s="7">
        <v>0</v>
      </c>
      <c r="N20" s="7">
        <v>5</v>
      </c>
      <c r="O20" s="6">
        <v>296487</v>
      </c>
      <c r="P20" s="7">
        <v>1</v>
      </c>
      <c r="Q20" s="7">
        <v>7.0205950000000001</v>
      </c>
    </row>
    <row r="21" spans="1:17">
      <c r="A21" s="14"/>
      <c r="B21" s="1" t="s">
        <v>20</v>
      </c>
      <c r="C21" s="1" t="s">
        <v>30</v>
      </c>
      <c r="D21" s="1">
        <v>20000000</v>
      </c>
      <c r="E21" s="1">
        <v>20000000</v>
      </c>
      <c r="F21" s="1">
        <v>0</v>
      </c>
      <c r="G21" s="1">
        <v>0</v>
      </c>
      <c r="H21" s="1">
        <v>0</v>
      </c>
      <c r="I21" s="1" t="s">
        <v>16</v>
      </c>
      <c r="J21" s="1" t="s">
        <v>16</v>
      </c>
      <c r="K21" s="1" t="s">
        <v>16</v>
      </c>
      <c r="L21" s="1">
        <v>0</v>
      </c>
      <c r="M21" s="1">
        <v>0</v>
      </c>
      <c r="N21" s="1">
        <v>2</v>
      </c>
      <c r="O21" s="3">
        <v>157610</v>
      </c>
      <c r="Q21" s="1">
        <v>3.9705430000000002</v>
      </c>
    </row>
    <row r="22" spans="1:17">
      <c r="A22" s="14"/>
      <c r="B22" s="7" t="s">
        <v>32</v>
      </c>
      <c r="C22" s="7" t="s">
        <v>30</v>
      </c>
      <c r="D22" s="7">
        <v>20000000</v>
      </c>
      <c r="E22" s="7">
        <v>20000000</v>
      </c>
      <c r="F22" s="7">
        <v>0</v>
      </c>
      <c r="G22" s="7">
        <v>0</v>
      </c>
      <c r="H22" s="7">
        <v>0</v>
      </c>
      <c r="I22" s="7" t="s">
        <v>13</v>
      </c>
      <c r="J22" s="7" t="s">
        <v>13</v>
      </c>
      <c r="K22" s="7" t="s">
        <v>14</v>
      </c>
      <c r="L22" s="7">
        <v>0</v>
      </c>
      <c r="M22" s="7">
        <v>0</v>
      </c>
      <c r="N22" s="7">
        <v>5</v>
      </c>
      <c r="O22" s="6">
        <v>595485</v>
      </c>
      <c r="P22" s="7">
        <v>2</v>
      </c>
      <c r="Q22" s="7">
        <v>7.0192310000000004</v>
      </c>
    </row>
    <row r="23" spans="1:17">
      <c r="A23" s="14"/>
      <c r="B23" s="7" t="s">
        <v>33</v>
      </c>
      <c r="C23" s="7" t="s">
        <v>30</v>
      </c>
      <c r="D23" s="7">
        <v>20000000</v>
      </c>
      <c r="E23" s="7">
        <v>20000000</v>
      </c>
      <c r="F23" s="7">
        <v>0</v>
      </c>
      <c r="G23" s="7">
        <v>0</v>
      </c>
      <c r="H23" s="7">
        <v>0</v>
      </c>
      <c r="I23" s="7" t="s">
        <v>14</v>
      </c>
      <c r="J23" s="7" t="s">
        <v>14</v>
      </c>
      <c r="K23" s="7" t="s">
        <v>19</v>
      </c>
      <c r="L23" s="7">
        <v>0</v>
      </c>
      <c r="M23" s="7">
        <v>0</v>
      </c>
      <c r="N23" s="7">
        <v>5</v>
      </c>
      <c r="O23" s="6">
        <v>1992665</v>
      </c>
      <c r="P23" s="7">
        <v>4</v>
      </c>
      <c r="Q23" s="7">
        <v>6.588838</v>
      </c>
    </row>
    <row r="24" spans="1:17">
      <c r="A24" s="14"/>
      <c r="B24" s="1" t="s">
        <v>34</v>
      </c>
      <c r="C24" s="1" t="s">
        <v>31</v>
      </c>
      <c r="D24" s="1">
        <v>20000000</v>
      </c>
      <c r="E24" s="1">
        <v>20000000</v>
      </c>
      <c r="F24" s="1">
        <v>0</v>
      </c>
      <c r="G24" s="1">
        <v>0</v>
      </c>
      <c r="H24" s="1">
        <v>0</v>
      </c>
      <c r="I24" s="1" t="s">
        <v>16</v>
      </c>
      <c r="J24" s="1" t="s">
        <v>16</v>
      </c>
      <c r="K24" s="1" t="s">
        <v>16</v>
      </c>
      <c r="L24" s="1">
        <v>0</v>
      </c>
      <c r="M24" s="1">
        <v>0</v>
      </c>
      <c r="N24" s="1">
        <v>2</v>
      </c>
      <c r="O24" s="3">
        <v>428382</v>
      </c>
      <c r="Q24" s="1">
        <v>4.267023</v>
      </c>
    </row>
    <row r="25" spans="1:17">
      <c r="A25" s="14"/>
      <c r="B25" s="1" t="s">
        <v>35</v>
      </c>
      <c r="C25" s="1" t="s">
        <v>31</v>
      </c>
      <c r="D25" s="1">
        <v>20000000</v>
      </c>
      <c r="E25" s="1">
        <v>20000000</v>
      </c>
      <c r="F25" s="1">
        <v>0</v>
      </c>
      <c r="G25" s="1">
        <v>0</v>
      </c>
      <c r="H25" s="1">
        <v>0</v>
      </c>
      <c r="I25" s="1" t="s">
        <v>13</v>
      </c>
      <c r="J25" s="1" t="s">
        <v>13</v>
      </c>
      <c r="K25" s="1" t="s">
        <v>14</v>
      </c>
      <c r="L25" s="1">
        <v>0</v>
      </c>
      <c r="M25" s="1">
        <v>0</v>
      </c>
      <c r="N25" s="1">
        <v>5</v>
      </c>
      <c r="O25" s="3">
        <v>1243839</v>
      </c>
      <c r="Q25" s="1">
        <v>6.8439560000000004</v>
      </c>
    </row>
    <row r="26" spans="1:17">
      <c r="A26" s="14"/>
      <c r="B26" s="1" t="s">
        <v>36</v>
      </c>
      <c r="C26" s="1" t="s">
        <v>5</v>
      </c>
      <c r="D26" s="1">
        <v>20000000</v>
      </c>
      <c r="E26" s="1">
        <v>20000000</v>
      </c>
      <c r="F26" s="1">
        <v>0</v>
      </c>
      <c r="G26" s="1">
        <v>0</v>
      </c>
      <c r="H26" s="1">
        <v>0</v>
      </c>
      <c r="I26" s="1" t="s">
        <v>13</v>
      </c>
      <c r="J26" s="1" t="s">
        <v>13</v>
      </c>
      <c r="K26" s="1" t="s">
        <v>19</v>
      </c>
      <c r="L26" s="1">
        <v>0</v>
      </c>
      <c r="M26" s="1">
        <v>0</v>
      </c>
      <c r="N26" s="1">
        <v>5</v>
      </c>
      <c r="O26" s="3">
        <v>8634415</v>
      </c>
      <c r="P26" s="8" t="s">
        <v>24</v>
      </c>
    </row>
    <row r="28" spans="1:17">
      <c r="A28" s="1" t="s">
        <v>59</v>
      </c>
      <c r="B28" s="1" t="s">
        <v>15</v>
      </c>
      <c r="C28" s="1" t="s">
        <v>31</v>
      </c>
      <c r="D28" s="1">
        <v>20000000</v>
      </c>
      <c r="E28" s="1">
        <v>20000000</v>
      </c>
      <c r="F28" s="1">
        <v>0</v>
      </c>
      <c r="G28" s="1">
        <v>0</v>
      </c>
      <c r="H28" s="1">
        <v>0</v>
      </c>
      <c r="I28" s="1" t="s">
        <v>14</v>
      </c>
      <c r="J28" s="1" t="s">
        <v>14</v>
      </c>
      <c r="K28" s="1" t="s">
        <v>19</v>
      </c>
      <c r="L28" s="1">
        <v>0</v>
      </c>
      <c r="M28" s="1">
        <v>0</v>
      </c>
      <c r="N28" s="1">
        <v>5</v>
      </c>
      <c r="O28" s="3">
        <v>4017746</v>
      </c>
      <c r="Q28" s="1">
        <v>6.2175349999999998</v>
      </c>
    </row>
    <row r="29" spans="1:17">
      <c r="B29" s="1" t="s">
        <v>60</v>
      </c>
      <c r="C29" s="1" t="s">
        <v>62</v>
      </c>
      <c r="D29" s="1">
        <v>20000000</v>
      </c>
      <c r="E29" s="1">
        <v>20000000</v>
      </c>
      <c r="F29" s="1">
        <v>0</v>
      </c>
      <c r="G29" s="1">
        <v>0</v>
      </c>
      <c r="H29" s="1">
        <v>0</v>
      </c>
      <c r="I29" s="1" t="s">
        <v>13</v>
      </c>
      <c r="J29" s="1" t="s">
        <v>13</v>
      </c>
      <c r="K29" s="1" t="s">
        <v>14</v>
      </c>
      <c r="L29" s="1">
        <v>0</v>
      </c>
      <c r="M29" s="1">
        <v>0</v>
      </c>
      <c r="N29" s="1">
        <v>5</v>
      </c>
      <c r="O29" s="3">
        <v>2310697</v>
      </c>
      <c r="Q29" s="1">
        <v>6.7146840000000001</v>
      </c>
    </row>
    <row r="30" spans="1:17">
      <c r="B30" s="1" t="s">
        <v>61</v>
      </c>
      <c r="C30" s="1" t="s">
        <v>63</v>
      </c>
      <c r="D30" s="1">
        <v>20000000</v>
      </c>
      <c r="E30" s="1">
        <v>20000000</v>
      </c>
      <c r="F30" s="1">
        <v>0</v>
      </c>
      <c r="G30" s="1">
        <v>0</v>
      </c>
      <c r="H30" s="1">
        <v>0</v>
      </c>
      <c r="I30" s="1" t="s">
        <v>14</v>
      </c>
      <c r="J30" s="1" t="s">
        <v>14</v>
      </c>
      <c r="K30" s="1" t="s">
        <v>19</v>
      </c>
      <c r="L30" s="1">
        <v>0</v>
      </c>
      <c r="M30" s="1">
        <v>0</v>
      </c>
      <c r="N30" s="1">
        <v>5</v>
      </c>
      <c r="O30" s="3">
        <v>5694124</v>
      </c>
      <c r="Q30" s="1">
        <v>5.9190529999999999</v>
      </c>
    </row>
    <row r="32" spans="1:17">
      <c r="A32" s="1" t="s">
        <v>79</v>
      </c>
      <c r="B32" s="1" t="s">
        <v>15</v>
      </c>
      <c r="C32" s="1" t="s">
        <v>80</v>
      </c>
      <c r="D32" s="1">
        <v>20000000</v>
      </c>
      <c r="E32" s="1">
        <v>20000000</v>
      </c>
      <c r="F32" s="1">
        <v>0</v>
      </c>
      <c r="G32" s="1">
        <v>0</v>
      </c>
      <c r="H32" s="1">
        <v>0</v>
      </c>
      <c r="I32" s="1" t="s">
        <v>13</v>
      </c>
      <c r="J32" s="1" t="s">
        <v>13</v>
      </c>
      <c r="K32" s="1" t="s">
        <v>14</v>
      </c>
      <c r="L32" s="1">
        <v>0</v>
      </c>
      <c r="M32" s="1">
        <v>0</v>
      </c>
      <c r="N32" s="1">
        <v>5</v>
      </c>
      <c r="O32" s="3">
        <v>628353</v>
      </c>
    </row>
    <row r="33" spans="2:15">
      <c r="B33" s="1" t="s">
        <v>17</v>
      </c>
      <c r="C33" s="1" t="s">
        <v>81</v>
      </c>
      <c r="D33" s="1">
        <v>20000000</v>
      </c>
      <c r="E33" s="1">
        <v>20000000</v>
      </c>
      <c r="F33" s="1">
        <v>0</v>
      </c>
      <c r="G33" s="1">
        <v>0</v>
      </c>
      <c r="H33" s="1">
        <v>0</v>
      </c>
      <c r="I33" s="1" t="s">
        <v>13</v>
      </c>
      <c r="J33" s="1" t="s">
        <v>13</v>
      </c>
      <c r="K33" s="1" t="s">
        <v>14</v>
      </c>
      <c r="L33" s="1">
        <v>0</v>
      </c>
      <c r="M33" s="1">
        <v>0</v>
      </c>
      <c r="N33" s="1">
        <v>5</v>
      </c>
      <c r="O33" s="3">
        <v>1008002</v>
      </c>
    </row>
    <row r="34" spans="2:15">
      <c r="B34" s="1" t="s">
        <v>23</v>
      </c>
      <c r="C34" s="1" t="s">
        <v>82</v>
      </c>
      <c r="D34" s="1">
        <v>20000000</v>
      </c>
      <c r="E34" s="1">
        <v>20000000</v>
      </c>
      <c r="F34" s="1">
        <v>0</v>
      </c>
      <c r="G34" s="1">
        <v>0</v>
      </c>
      <c r="H34" s="1">
        <v>0</v>
      </c>
      <c r="I34" s="1" t="s">
        <v>13</v>
      </c>
      <c r="J34" s="1" t="s">
        <v>13</v>
      </c>
      <c r="K34" s="1" t="s">
        <v>14</v>
      </c>
      <c r="L34" s="1">
        <v>0</v>
      </c>
      <c r="M34" s="1">
        <v>0</v>
      </c>
      <c r="N34" s="1">
        <v>5</v>
      </c>
      <c r="O34" s="3">
        <v>1649192</v>
      </c>
    </row>
    <row r="35" spans="2:15">
      <c r="B35" s="1" t="s">
        <v>18</v>
      </c>
      <c r="C35" s="1" t="s">
        <v>5</v>
      </c>
      <c r="D35" s="1">
        <v>20000000</v>
      </c>
      <c r="E35" s="1">
        <v>20000000</v>
      </c>
      <c r="F35" s="1">
        <v>0</v>
      </c>
      <c r="G35" s="1">
        <v>0</v>
      </c>
      <c r="H35" s="1">
        <v>0</v>
      </c>
      <c r="I35" s="1" t="s">
        <v>13</v>
      </c>
      <c r="J35" s="1" t="s">
        <v>13</v>
      </c>
      <c r="K35" s="1" t="s">
        <v>14</v>
      </c>
      <c r="L35" s="1">
        <v>0</v>
      </c>
      <c r="M35" s="1">
        <v>0</v>
      </c>
      <c r="N35" s="1">
        <v>5</v>
      </c>
      <c r="O35" s="3">
        <v>2745843</v>
      </c>
    </row>
    <row r="36" spans="2:15">
      <c r="B36" s="1" t="s">
        <v>20</v>
      </c>
      <c r="C36" s="1" t="s">
        <v>83</v>
      </c>
      <c r="D36" s="1">
        <v>40000000</v>
      </c>
      <c r="E36" s="1">
        <v>40000000</v>
      </c>
      <c r="F36" s="1">
        <v>0</v>
      </c>
      <c r="G36" s="1">
        <v>0</v>
      </c>
      <c r="H36" s="1">
        <v>0</v>
      </c>
      <c r="I36" s="1" t="s">
        <v>13</v>
      </c>
      <c r="J36" s="1" t="s">
        <v>13</v>
      </c>
      <c r="K36" s="1" t="s">
        <v>14</v>
      </c>
      <c r="L36" s="1">
        <v>0</v>
      </c>
      <c r="M36" s="1">
        <v>0</v>
      </c>
      <c r="N36" s="1">
        <v>5</v>
      </c>
      <c r="O36" s="3">
        <v>4678927</v>
      </c>
    </row>
    <row r="37" spans="2:15">
      <c r="B37" s="1" t="s">
        <v>32</v>
      </c>
      <c r="C37" s="1" t="s">
        <v>84</v>
      </c>
      <c r="D37" s="1">
        <v>60000000</v>
      </c>
      <c r="E37" s="1">
        <v>60000000</v>
      </c>
      <c r="F37" s="1">
        <v>0</v>
      </c>
      <c r="G37" s="1">
        <v>0</v>
      </c>
      <c r="H37" s="1">
        <v>0</v>
      </c>
      <c r="I37" s="1" t="s">
        <v>13</v>
      </c>
      <c r="J37" s="1" t="s">
        <v>13</v>
      </c>
      <c r="K37" s="1" t="s">
        <v>14</v>
      </c>
      <c r="L37" s="1">
        <v>0</v>
      </c>
      <c r="M37" s="1">
        <v>0</v>
      </c>
      <c r="N37" s="1">
        <v>5</v>
      </c>
      <c r="O37" s="3">
        <v>7718722</v>
      </c>
    </row>
  </sheetData>
  <mergeCells count="7">
    <mergeCell ref="D2:N2"/>
    <mergeCell ref="A6:A10"/>
    <mergeCell ref="A17:A26"/>
    <mergeCell ref="A12:A15"/>
    <mergeCell ref="F3:H3"/>
    <mergeCell ref="I3:K3"/>
    <mergeCell ref="L3:N3"/>
  </mergeCells>
  <phoneticPr fontId="3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BD63F4-89E1-9342-AA68-12768FC8B086}">
  <dimension ref="A1:J27"/>
  <sheetViews>
    <sheetView zoomScale="163" zoomScaleNormal="150" workbookViewId="0">
      <selection activeCell="C32" sqref="C32"/>
    </sheetView>
  </sheetViews>
  <sheetFormatPr baseColWidth="10" defaultRowHeight="16"/>
  <cols>
    <col min="1" max="1" width="13.6640625" style="1" bestFit="1" customWidth="1"/>
    <col min="2" max="2" width="13.6640625" style="3" bestFit="1" customWidth="1"/>
    <col min="3" max="3" width="28.6640625" style="1" bestFit="1" customWidth="1"/>
  </cols>
  <sheetData>
    <row r="1" spans="1:5">
      <c r="B1" s="3" t="s">
        <v>11</v>
      </c>
      <c r="C1" s="1" t="s">
        <v>58</v>
      </c>
      <c r="D1" t="s">
        <v>68</v>
      </c>
      <c r="E1" t="s">
        <v>69</v>
      </c>
    </row>
    <row r="2" spans="1:5">
      <c r="A2" s="1" t="s">
        <v>47</v>
      </c>
      <c r="B2" s="3">
        <v>21965</v>
      </c>
      <c r="C2" s="1">
        <v>3.2915860000000001</v>
      </c>
      <c r="D2">
        <f>(C2-$C$21)/($C$21)*100</f>
        <v>-44.389989412157647</v>
      </c>
      <c r="E2">
        <f>LOG(B2)</f>
        <v>4.341731207601339</v>
      </c>
    </row>
    <row r="3" spans="1:5">
      <c r="A3" s="1" t="s">
        <v>49</v>
      </c>
      <c r="B3" s="3">
        <v>58331</v>
      </c>
      <c r="C3" s="1">
        <v>3.9423170000000001</v>
      </c>
      <c r="D3">
        <f t="shared" ref="D3:D21" si="0">(C3-$C$21)/($C$21)*100</f>
        <v>-33.396153067053127</v>
      </c>
      <c r="E3">
        <f t="shared" ref="E3:E21" si="1">LOG(B3)</f>
        <v>4.7658994218399107</v>
      </c>
    </row>
    <row r="4" spans="1:5">
      <c r="A4" s="1" t="s">
        <v>48</v>
      </c>
      <c r="B4" s="3">
        <v>151117</v>
      </c>
      <c r="C4" s="1">
        <v>6.5159880000000001</v>
      </c>
      <c r="D4">
        <f t="shared" si="0"/>
        <v>10.084974741736561</v>
      </c>
      <c r="E4">
        <f t="shared" si="1"/>
        <v>5.1793133233125452</v>
      </c>
    </row>
    <row r="5" spans="1:5">
      <c r="A5" s="1" t="s">
        <v>51</v>
      </c>
      <c r="B5" s="3">
        <v>157610</v>
      </c>
      <c r="C5" s="1">
        <v>3.9705430000000002</v>
      </c>
      <c r="D5">
        <f t="shared" si="0"/>
        <v>-32.919286243931246</v>
      </c>
      <c r="E5">
        <f t="shared" si="1"/>
        <v>5.1975837690357771</v>
      </c>
    </row>
    <row r="6" spans="1:5">
      <c r="A6" s="7" t="s">
        <v>50</v>
      </c>
      <c r="B6" s="6">
        <v>296487</v>
      </c>
      <c r="C6" s="7">
        <v>7.0205950000000001</v>
      </c>
      <c r="D6">
        <f t="shared" si="0"/>
        <v>18.610105366517249</v>
      </c>
      <c r="E6">
        <f t="shared" si="1"/>
        <v>5.4720056557035237</v>
      </c>
    </row>
    <row r="7" spans="1:5">
      <c r="A7" s="1" t="s">
        <v>54</v>
      </c>
      <c r="B7" s="3">
        <v>428382</v>
      </c>
      <c r="C7" s="1">
        <v>4.267023</v>
      </c>
      <c r="D7">
        <f t="shared" si="0"/>
        <v>-27.910376879544753</v>
      </c>
      <c r="E7">
        <f t="shared" si="1"/>
        <v>5.6318312141091464</v>
      </c>
    </row>
    <row r="8" spans="1:5">
      <c r="A8" s="7" t="s">
        <v>52</v>
      </c>
      <c r="B8" s="6">
        <v>595485</v>
      </c>
      <c r="C8" s="7">
        <v>7.0192310000000004</v>
      </c>
      <c r="D8">
        <f t="shared" si="0"/>
        <v>18.587061139678944</v>
      </c>
      <c r="E8">
        <f t="shared" si="1"/>
        <v>5.7748708262734132</v>
      </c>
    </row>
    <row r="9" spans="1:5">
      <c r="A9" s="1" t="s">
        <v>43</v>
      </c>
      <c r="B9" s="3">
        <v>1177293</v>
      </c>
      <c r="C9" s="1">
        <v>4.4426329999999998</v>
      </c>
      <c r="D9">
        <f t="shared" si="0"/>
        <v>-24.943517147084172</v>
      </c>
      <c r="E9">
        <f t="shared" si="1"/>
        <v>6.0708845617791702</v>
      </c>
    </row>
    <row r="10" spans="1:5">
      <c r="A10" s="1" t="s">
        <v>44</v>
      </c>
      <c r="B10" s="3">
        <v>1220884</v>
      </c>
      <c r="C10" s="1">
        <v>4.5467500000000003</v>
      </c>
      <c r="D10">
        <f t="shared" si="0"/>
        <v>-23.184502656083662</v>
      </c>
      <c r="E10">
        <f t="shared" si="1"/>
        <v>6.0866744022306172</v>
      </c>
    </row>
    <row r="11" spans="1:5">
      <c r="A11" s="1" t="s">
        <v>55</v>
      </c>
      <c r="B11" s="3">
        <v>1243839</v>
      </c>
      <c r="C11" s="1">
        <v>6.8439560000000004</v>
      </c>
      <c r="D11">
        <f t="shared" si="0"/>
        <v>15.625861096361199</v>
      </c>
      <c r="E11">
        <f t="shared" si="1"/>
        <v>6.0947641697948045</v>
      </c>
    </row>
    <row r="12" spans="1:5">
      <c r="A12" s="1" t="s">
        <v>57</v>
      </c>
      <c r="B12" s="3">
        <v>1286599</v>
      </c>
      <c r="C12" s="1">
        <v>4.7272990000000004</v>
      </c>
      <c r="D12">
        <f t="shared" si="0"/>
        <v>-20.134200521603702</v>
      </c>
      <c r="E12">
        <f t="shared" si="1"/>
        <v>6.1094432095121567</v>
      </c>
    </row>
    <row r="13" spans="1:5">
      <c r="A13" s="1" t="s">
        <v>39</v>
      </c>
      <c r="B13" s="3">
        <v>1286599</v>
      </c>
      <c r="C13" s="1">
        <v>4.7272990000000004</v>
      </c>
      <c r="D13">
        <f t="shared" si="0"/>
        <v>-20.134200521603702</v>
      </c>
      <c r="E13">
        <f t="shared" si="1"/>
        <v>6.1094432095121567</v>
      </c>
    </row>
    <row r="14" spans="1:5">
      <c r="A14" s="9" t="s">
        <v>40</v>
      </c>
      <c r="B14" s="10">
        <v>1286599</v>
      </c>
      <c r="C14" s="9">
        <v>4.7272990000000004</v>
      </c>
      <c r="D14">
        <f t="shared" si="0"/>
        <v>-20.134200521603702</v>
      </c>
      <c r="E14">
        <f t="shared" si="1"/>
        <v>6.1094432095121567</v>
      </c>
    </row>
    <row r="15" spans="1:5">
      <c r="A15" s="1" t="s">
        <v>41</v>
      </c>
      <c r="B15" s="3">
        <v>1286599</v>
      </c>
      <c r="C15" s="1">
        <v>4.7272990000000004</v>
      </c>
      <c r="D15">
        <f t="shared" si="0"/>
        <v>-20.134200521603702</v>
      </c>
      <c r="E15">
        <f t="shared" si="1"/>
        <v>6.1094432095121567</v>
      </c>
    </row>
    <row r="16" spans="1:5">
      <c r="A16" s="1" t="s">
        <v>42</v>
      </c>
      <c r="B16" s="3">
        <v>1286599</v>
      </c>
      <c r="C16" s="1">
        <v>4.7272990000000004</v>
      </c>
      <c r="D16">
        <f t="shared" si="0"/>
        <v>-20.134200521603702</v>
      </c>
      <c r="E16">
        <f t="shared" si="1"/>
        <v>6.1094432095121567</v>
      </c>
    </row>
    <row r="17" spans="1:10">
      <c r="A17" s="7" t="s">
        <v>53</v>
      </c>
      <c r="B17" s="6">
        <v>1992665</v>
      </c>
      <c r="C17" s="7">
        <v>6.588838</v>
      </c>
      <c r="D17">
        <f t="shared" si="0"/>
        <v>11.315745947873758</v>
      </c>
      <c r="E17">
        <f t="shared" si="1"/>
        <v>6.2994342927394849</v>
      </c>
    </row>
    <row r="18" spans="1:10">
      <c r="A18" s="1" t="s">
        <v>65</v>
      </c>
      <c r="B18" s="3">
        <v>2310697</v>
      </c>
      <c r="C18" s="1">
        <v>6.7146840000000001</v>
      </c>
      <c r="D18">
        <f t="shared" si="0"/>
        <v>13.441863081813935</v>
      </c>
      <c r="E18">
        <f t="shared" si="1"/>
        <v>6.3637430004962576</v>
      </c>
    </row>
    <row r="19" spans="1:10">
      <c r="A19" s="7" t="s">
        <v>45</v>
      </c>
      <c r="B19" s="6">
        <v>2745843</v>
      </c>
      <c r="C19" s="7">
        <v>6.5650180000000002</v>
      </c>
      <c r="D19">
        <f t="shared" si="0"/>
        <v>10.913316707926088</v>
      </c>
      <c r="E19">
        <f t="shared" si="1"/>
        <v>6.438675701807175</v>
      </c>
    </row>
    <row r="20" spans="1:10">
      <c r="A20" s="1" t="s">
        <v>64</v>
      </c>
      <c r="B20" s="3">
        <v>4017746</v>
      </c>
      <c r="C20" s="1">
        <v>6.2175349999999998</v>
      </c>
      <c r="D20">
        <f t="shared" si="0"/>
        <v>5.0427323424878931</v>
      </c>
      <c r="E20">
        <f t="shared" si="1"/>
        <v>6.6039824773885298</v>
      </c>
    </row>
    <row r="21" spans="1:10">
      <c r="A21" s="1" t="s">
        <v>66</v>
      </c>
      <c r="B21" s="3">
        <v>5694124</v>
      </c>
      <c r="C21" s="1">
        <v>5.9190529999999999</v>
      </c>
      <c r="D21">
        <f t="shared" si="0"/>
        <v>0</v>
      </c>
      <c r="E21">
        <f t="shared" si="1"/>
        <v>6.7554269204732798</v>
      </c>
    </row>
    <row r="22" spans="1:10">
      <c r="A22" s="1" t="s">
        <v>56</v>
      </c>
      <c r="B22" s="3">
        <v>8634415</v>
      </c>
      <c r="C22" s="1" t="s">
        <v>38</v>
      </c>
    </row>
    <row r="23" spans="1:10">
      <c r="A23" s="1" t="s">
        <v>46</v>
      </c>
      <c r="B23" s="3">
        <v>8670518</v>
      </c>
      <c r="C23" s="1" t="s">
        <v>38</v>
      </c>
    </row>
    <row r="27" spans="1:10">
      <c r="J27" t="s">
        <v>67</v>
      </c>
    </row>
  </sheetData>
  <autoFilter ref="A1:C23" xr:uid="{F5BD63F4-89E1-9342-AA68-12768FC8B086}">
    <sortState xmlns:xlrd2="http://schemas.microsoft.com/office/spreadsheetml/2017/richdata2" ref="A2:C23">
      <sortCondition ref="B1:B23"/>
    </sortState>
  </autoFilter>
  <phoneticPr fontId="3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D804BF-0246-F749-A04E-AF355E0230DF}">
  <dimension ref="C4:F17"/>
  <sheetViews>
    <sheetView topLeftCell="A3" zoomScale="185" workbookViewId="0">
      <selection activeCell="C4" sqref="C4"/>
    </sheetView>
  </sheetViews>
  <sheetFormatPr baseColWidth="10" defaultRowHeight="16"/>
  <sheetData>
    <row r="4" spans="3:6">
      <c r="C4" t="s">
        <v>70</v>
      </c>
      <c r="F4" t="s">
        <v>73</v>
      </c>
    </row>
    <row r="5" spans="3:6">
      <c r="C5" t="s">
        <v>78</v>
      </c>
    </row>
    <row r="6" spans="3:6">
      <c r="C6" t="s">
        <v>71</v>
      </c>
    </row>
    <row r="7" spans="3:6">
      <c r="C7" t="s">
        <v>72</v>
      </c>
    </row>
    <row r="10" spans="3:6">
      <c r="C10" t="s">
        <v>74</v>
      </c>
    </row>
    <row r="13" spans="3:6">
      <c r="C13" t="s">
        <v>75</v>
      </c>
    </row>
    <row r="15" spans="3:6">
      <c r="C15" t="s">
        <v>76</v>
      </c>
    </row>
    <row r="17" spans="3:3">
      <c r="C17" t="s">
        <v>77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2F8DBB-5696-9149-859C-3F80D2E5965A}">
  <dimension ref="A1:K8"/>
  <sheetViews>
    <sheetView zoomScale="165" workbookViewId="0">
      <selection activeCell="F17" sqref="F17"/>
    </sheetView>
  </sheetViews>
  <sheetFormatPr baseColWidth="10" defaultRowHeight="16"/>
  <sheetData>
    <row r="1" spans="1:11">
      <c r="A1" t="s">
        <v>95</v>
      </c>
      <c r="B1" s="11" t="s">
        <v>85</v>
      </c>
      <c r="C1" t="s">
        <v>86</v>
      </c>
      <c r="D1" s="11" t="s">
        <v>87</v>
      </c>
      <c r="E1" s="11" t="s">
        <v>88</v>
      </c>
      <c r="F1" s="11" t="s">
        <v>89</v>
      </c>
      <c r="G1" s="11" t="s">
        <v>90</v>
      </c>
      <c r="H1" t="s">
        <v>91</v>
      </c>
      <c r="I1" s="11" t="s">
        <v>92</v>
      </c>
      <c r="J1" s="11" t="s">
        <v>93</v>
      </c>
      <c r="K1" s="11" t="s">
        <v>94</v>
      </c>
    </row>
    <row r="2" spans="1:11">
      <c r="A2" s="3">
        <v>628353</v>
      </c>
      <c r="B2">
        <v>0.460344577697889</v>
      </c>
      <c r="D2">
        <v>0.41435995154643002</v>
      </c>
      <c r="E2">
        <v>0.41672125467474502</v>
      </c>
      <c r="F2">
        <v>0.15970191310947901</v>
      </c>
      <c r="G2">
        <v>0.34878100000000001</v>
      </c>
      <c r="I2">
        <v>0.37630000000000002</v>
      </c>
      <c r="J2">
        <v>0.37835400000000002</v>
      </c>
      <c r="K2">
        <v>0.44003799999999998</v>
      </c>
    </row>
    <row r="3" spans="1:11">
      <c r="A3" s="3">
        <v>1008002</v>
      </c>
      <c r="B3">
        <v>0.46027734813978999</v>
      </c>
      <c r="D3">
        <v>0.41606509234600503</v>
      </c>
      <c r="E3">
        <v>0.39660034142623901</v>
      </c>
      <c r="F3">
        <v>0.16488510704982901</v>
      </c>
      <c r="G3">
        <v>0.34806199999999998</v>
      </c>
      <c r="I3">
        <v>0.37571900000000003</v>
      </c>
      <c r="J3">
        <v>0.378917</v>
      </c>
      <c r="K3">
        <v>0.43961800000000001</v>
      </c>
    </row>
    <row r="4" spans="1:11">
      <c r="A4" s="5">
        <v>1286599</v>
      </c>
      <c r="B4">
        <v>0.45949108808716899</v>
      </c>
      <c r="C4">
        <v>0.45103687714584001</v>
      </c>
      <c r="D4">
        <v>0.41223506675954902</v>
      </c>
      <c r="E4">
        <v>0.41487219710505802</v>
      </c>
      <c r="F4">
        <v>0.173267821795306</v>
      </c>
      <c r="G4">
        <v>0.34978599999999999</v>
      </c>
      <c r="H4">
        <v>0.35838900000000001</v>
      </c>
      <c r="I4">
        <v>0.37792399999999998</v>
      </c>
      <c r="J4">
        <v>0.38026199999999999</v>
      </c>
      <c r="K4">
        <v>0.441249</v>
      </c>
    </row>
    <row r="5" spans="1:11">
      <c r="A5" s="3">
        <v>1649192</v>
      </c>
      <c r="B5">
        <v>0.46016266429095698</v>
      </c>
      <c r="D5">
        <v>0.41495139438401601</v>
      </c>
      <c r="E5">
        <v>0.41394495032314499</v>
      </c>
      <c r="F5">
        <v>0.18287382500726199</v>
      </c>
      <c r="G5">
        <v>0.34823399999999999</v>
      </c>
      <c r="I5">
        <v>0.37620199999999998</v>
      </c>
      <c r="J5">
        <v>0.37893700000000002</v>
      </c>
      <c r="K5">
        <v>0.440081</v>
      </c>
    </row>
    <row r="6" spans="1:11">
      <c r="A6" s="3">
        <v>2745843</v>
      </c>
      <c r="B6">
        <v>0.45995508004300001</v>
      </c>
      <c r="D6">
        <v>0.41345397534406397</v>
      </c>
      <c r="E6">
        <v>0.41404382377250798</v>
      </c>
      <c r="F6">
        <v>0.19925513319563401</v>
      </c>
      <c r="G6">
        <v>0.34731600000000001</v>
      </c>
      <c r="I6">
        <v>0.37524299999999999</v>
      </c>
      <c r="J6">
        <v>0.37851099999999999</v>
      </c>
      <c r="K6">
        <v>0.43940000000000001</v>
      </c>
    </row>
    <row r="7" spans="1:11">
      <c r="A7" s="3">
        <v>4678927</v>
      </c>
      <c r="B7">
        <v>0.45972933307744501</v>
      </c>
      <c r="D7">
        <v>0.413543666443835</v>
      </c>
      <c r="E7">
        <v>0.37751319617284901</v>
      </c>
      <c r="F7">
        <v>0.15325204501980499</v>
      </c>
      <c r="G7">
        <v>0.34646900000000003</v>
      </c>
      <c r="I7">
        <v>0.37471199999999999</v>
      </c>
      <c r="J7">
        <v>0.37868400000000002</v>
      </c>
      <c r="K7">
        <v>0.43885099999999999</v>
      </c>
    </row>
    <row r="8" spans="1:11">
      <c r="A8" s="3">
        <v>7718722</v>
      </c>
      <c r="B8">
        <v>0.45948211068511402</v>
      </c>
      <c r="D8">
        <v>0.41183779054235597</v>
      </c>
      <c r="E8">
        <v>0.402290519770997</v>
      </c>
      <c r="F8">
        <v>0.16854348036316899</v>
      </c>
      <c r="G8">
        <v>0.34579599999999999</v>
      </c>
      <c r="I8">
        <v>0.37429499999999999</v>
      </c>
      <c r="J8">
        <v>0.376863</v>
      </c>
      <c r="K8">
        <v>0.43862299999999999</v>
      </c>
    </row>
  </sheetData>
  <phoneticPr fontId="3" type="noConversion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467015-8472-DA4A-8C6B-DD8BBECE201B}">
  <dimension ref="A1:H51"/>
  <sheetViews>
    <sheetView zoomScale="125" workbookViewId="0">
      <selection activeCell="B1" sqref="B1:H1"/>
    </sheetView>
  </sheetViews>
  <sheetFormatPr baseColWidth="10" defaultRowHeight="16"/>
  <cols>
    <col min="2" max="7" width="19.83203125" bestFit="1" customWidth="1"/>
    <col min="8" max="8" width="22.1640625" bestFit="1" customWidth="1"/>
  </cols>
  <sheetData>
    <row r="1" spans="1:8" s="11" customFormat="1">
      <c r="A1" s="11" t="s">
        <v>96</v>
      </c>
      <c r="B1" s="11">
        <v>628353</v>
      </c>
      <c r="C1" s="11">
        <v>1008002</v>
      </c>
      <c r="D1" s="11">
        <v>1286599</v>
      </c>
      <c r="E1" s="11">
        <v>1649192</v>
      </c>
      <c r="F1" s="11">
        <v>2745843</v>
      </c>
      <c r="G1" s="11">
        <v>4678927</v>
      </c>
      <c r="H1" s="11">
        <v>7718722</v>
      </c>
    </row>
    <row r="2" spans="1:8">
      <c r="A2">
        <v>0</v>
      </c>
      <c r="B2" s="12" t="s">
        <v>97</v>
      </c>
      <c r="C2" s="12" t="s">
        <v>97</v>
      </c>
      <c r="D2" s="12" t="s">
        <v>97</v>
      </c>
      <c r="E2" s="12" t="s">
        <v>97</v>
      </c>
      <c r="F2" s="12" t="s">
        <v>97</v>
      </c>
      <c r="G2" s="12" t="s">
        <v>97</v>
      </c>
      <c r="H2" s="12" t="s">
        <v>97</v>
      </c>
    </row>
    <row r="3" spans="1:8">
      <c r="A3">
        <v>1</v>
      </c>
      <c r="B3" s="12" t="s">
        <v>98</v>
      </c>
      <c r="C3" s="12" t="s">
        <v>143</v>
      </c>
      <c r="D3" s="12" t="s">
        <v>187</v>
      </c>
      <c r="E3" s="12" t="s">
        <v>233</v>
      </c>
      <c r="F3" s="12" t="s">
        <v>273</v>
      </c>
      <c r="G3" s="12" t="s">
        <v>316</v>
      </c>
      <c r="H3" s="12" t="s">
        <v>358</v>
      </c>
    </row>
    <row r="4" spans="1:8">
      <c r="A4">
        <v>2</v>
      </c>
      <c r="B4" s="12" t="s">
        <v>99</v>
      </c>
      <c r="C4" s="12" t="s">
        <v>144</v>
      </c>
      <c r="D4" s="12" t="s">
        <v>188</v>
      </c>
      <c r="E4" s="12" t="s">
        <v>234</v>
      </c>
      <c r="F4" s="12" t="s">
        <v>274</v>
      </c>
      <c r="G4" s="12" t="s">
        <v>317</v>
      </c>
      <c r="H4" s="12" t="s">
        <v>359</v>
      </c>
    </row>
    <row r="5" spans="1:8">
      <c r="A5">
        <v>3</v>
      </c>
      <c r="B5" s="12" t="s">
        <v>100</v>
      </c>
      <c r="C5" s="12" t="s">
        <v>145</v>
      </c>
      <c r="D5" s="12" t="s">
        <v>189</v>
      </c>
      <c r="E5" s="12" t="s">
        <v>235</v>
      </c>
      <c r="F5" s="12" t="s">
        <v>275</v>
      </c>
      <c r="G5" s="12" t="s">
        <v>318</v>
      </c>
      <c r="H5" s="12" t="s">
        <v>360</v>
      </c>
    </row>
    <row r="6" spans="1:8">
      <c r="A6">
        <v>4</v>
      </c>
      <c r="B6" s="12" t="s">
        <v>101</v>
      </c>
      <c r="C6" s="12" t="s">
        <v>146</v>
      </c>
      <c r="D6" s="12" t="s">
        <v>190</v>
      </c>
      <c r="E6" s="12" t="s">
        <v>236</v>
      </c>
      <c r="F6" s="12" t="s">
        <v>276</v>
      </c>
      <c r="G6" s="12" t="s">
        <v>319</v>
      </c>
      <c r="H6" s="12" t="s">
        <v>361</v>
      </c>
    </row>
    <row r="7" spans="1:8">
      <c r="A7">
        <v>5</v>
      </c>
      <c r="B7" s="12" t="s">
        <v>102</v>
      </c>
      <c r="C7" s="12" t="s">
        <v>147</v>
      </c>
      <c r="D7" s="12" t="s">
        <v>191</v>
      </c>
      <c r="E7" s="12" t="s">
        <v>237</v>
      </c>
      <c r="F7" s="12" t="s">
        <v>277</v>
      </c>
      <c r="G7" s="12" t="s">
        <v>320</v>
      </c>
      <c r="H7" s="12" t="s">
        <v>362</v>
      </c>
    </row>
    <row r="8" spans="1:8">
      <c r="A8">
        <v>6</v>
      </c>
      <c r="B8" s="12" t="s">
        <v>103</v>
      </c>
      <c r="C8" s="12" t="s">
        <v>148</v>
      </c>
      <c r="D8" s="12" t="s">
        <v>192</v>
      </c>
      <c r="E8" s="12" t="s">
        <v>238</v>
      </c>
      <c r="F8" s="12" t="s">
        <v>278</v>
      </c>
      <c r="G8" s="12" t="s">
        <v>321</v>
      </c>
      <c r="H8" s="12" t="s">
        <v>363</v>
      </c>
    </row>
    <row r="9" spans="1:8">
      <c r="A9">
        <v>7</v>
      </c>
      <c r="B9" s="12" t="s">
        <v>104</v>
      </c>
      <c r="C9" s="12" t="s">
        <v>149</v>
      </c>
      <c r="D9">
        <v>0.455132534768455</v>
      </c>
      <c r="E9" s="12" t="s">
        <v>239</v>
      </c>
      <c r="F9" s="12" t="s">
        <v>279</v>
      </c>
      <c r="G9" s="12" t="s">
        <v>322</v>
      </c>
      <c r="H9" s="12" t="s">
        <v>364</v>
      </c>
    </row>
    <row r="10" spans="1:8">
      <c r="A10">
        <v>8</v>
      </c>
      <c r="B10">
        <v>0.44840796366296498</v>
      </c>
      <c r="C10" s="12" t="s">
        <v>150</v>
      </c>
      <c r="D10">
        <v>0.44631574093051002</v>
      </c>
      <c r="E10" s="12" t="s">
        <v>240</v>
      </c>
      <c r="F10" s="12" t="s">
        <v>280</v>
      </c>
      <c r="G10" s="12" t="s">
        <v>323</v>
      </c>
      <c r="H10" s="12" t="s">
        <v>365</v>
      </c>
    </row>
    <row r="11" spans="1:8">
      <c r="A11">
        <v>9</v>
      </c>
      <c r="B11" s="12" t="s">
        <v>105</v>
      </c>
      <c r="C11" s="12" t="s">
        <v>151</v>
      </c>
      <c r="D11" s="12" t="s">
        <v>193</v>
      </c>
      <c r="E11" s="12" t="s">
        <v>241</v>
      </c>
      <c r="F11" s="12" t="s">
        <v>281</v>
      </c>
      <c r="G11" s="12" t="s">
        <v>324</v>
      </c>
      <c r="H11" s="12" t="s">
        <v>366</v>
      </c>
    </row>
    <row r="12" spans="1:8">
      <c r="A12">
        <v>10</v>
      </c>
      <c r="B12" s="12" t="s">
        <v>106</v>
      </c>
      <c r="C12" s="12" t="s">
        <v>152</v>
      </c>
      <c r="D12" s="12" t="s">
        <v>194</v>
      </c>
      <c r="E12" s="12" t="s">
        <v>242</v>
      </c>
      <c r="F12" s="12" t="s">
        <v>282</v>
      </c>
      <c r="G12" s="12" t="s">
        <v>325</v>
      </c>
      <c r="H12" s="12" t="s">
        <v>367</v>
      </c>
    </row>
    <row r="13" spans="1:8">
      <c r="A13">
        <v>11</v>
      </c>
      <c r="B13" s="12" t="s">
        <v>107</v>
      </c>
      <c r="C13" s="12" t="s">
        <v>153</v>
      </c>
      <c r="D13" s="12" t="s">
        <v>195</v>
      </c>
      <c r="E13" s="12" t="s">
        <v>243</v>
      </c>
      <c r="F13" s="12" t="s">
        <v>283</v>
      </c>
      <c r="G13" s="12" t="s">
        <v>326</v>
      </c>
      <c r="H13">
        <v>0.41300981795792702</v>
      </c>
    </row>
    <row r="14" spans="1:8">
      <c r="A14">
        <v>12</v>
      </c>
      <c r="B14" s="12" t="s">
        <v>108</v>
      </c>
      <c r="C14" s="12" t="s">
        <v>154</v>
      </c>
      <c r="D14" s="12" t="s">
        <v>196</v>
      </c>
      <c r="E14">
        <v>0.412792505335562</v>
      </c>
      <c r="F14" s="12" t="s">
        <v>284</v>
      </c>
      <c r="G14" s="12" t="s">
        <v>327</v>
      </c>
      <c r="H14" s="12" t="s">
        <v>368</v>
      </c>
    </row>
    <row r="15" spans="1:8">
      <c r="A15">
        <v>13</v>
      </c>
      <c r="B15">
        <v>0.420553297738396</v>
      </c>
      <c r="C15" s="12" t="s">
        <v>155</v>
      </c>
      <c r="D15">
        <v>0.41695508445006402</v>
      </c>
      <c r="E15" s="12" t="s">
        <v>244</v>
      </c>
      <c r="F15" s="12" t="s">
        <v>285</v>
      </c>
      <c r="G15" s="12" t="s">
        <v>328</v>
      </c>
      <c r="H15">
        <v>0.41472186681914902</v>
      </c>
    </row>
    <row r="16" spans="1:8">
      <c r="A16">
        <v>14</v>
      </c>
      <c r="B16" s="12" t="s">
        <v>109</v>
      </c>
      <c r="C16" s="12" t="s">
        <v>156</v>
      </c>
      <c r="D16" s="12" t="s">
        <v>197</v>
      </c>
      <c r="E16" s="12" t="s">
        <v>245</v>
      </c>
      <c r="F16" s="12" t="s">
        <v>286</v>
      </c>
      <c r="G16" s="12" t="s">
        <v>329</v>
      </c>
      <c r="H16" s="12" t="s">
        <v>369</v>
      </c>
    </row>
    <row r="17" spans="1:8">
      <c r="A17">
        <v>15</v>
      </c>
      <c r="B17" s="12" t="s">
        <v>110</v>
      </c>
      <c r="C17" s="12" t="s">
        <v>157</v>
      </c>
      <c r="D17" s="12" t="s">
        <v>198</v>
      </c>
      <c r="E17" s="12" t="s">
        <v>246</v>
      </c>
      <c r="F17" s="12" t="s">
        <v>287</v>
      </c>
      <c r="G17" s="12" t="s">
        <v>330</v>
      </c>
      <c r="H17" s="12" t="s">
        <v>370</v>
      </c>
    </row>
    <row r="18" spans="1:8">
      <c r="A18">
        <v>16</v>
      </c>
      <c r="B18" s="12" t="s">
        <v>111</v>
      </c>
      <c r="C18" s="12" t="s">
        <v>158</v>
      </c>
      <c r="D18" s="12" t="s">
        <v>199</v>
      </c>
      <c r="E18" s="12" t="s">
        <v>247</v>
      </c>
      <c r="F18" s="12" t="s">
        <v>288</v>
      </c>
      <c r="G18" s="12" t="s">
        <v>331</v>
      </c>
      <c r="H18" s="12" t="s">
        <v>371</v>
      </c>
    </row>
    <row r="19" spans="1:8">
      <c r="A19">
        <v>17</v>
      </c>
      <c r="B19" s="12" t="s">
        <v>112</v>
      </c>
      <c r="C19">
        <v>0.40973999081623702</v>
      </c>
      <c r="D19" s="12" t="s">
        <v>200</v>
      </c>
      <c r="E19" s="12" t="s">
        <v>248</v>
      </c>
      <c r="F19" s="12" t="s">
        <v>289</v>
      </c>
      <c r="G19" s="12" t="s">
        <v>332</v>
      </c>
      <c r="H19" s="12" t="s">
        <v>372</v>
      </c>
    </row>
    <row r="20" spans="1:8">
      <c r="A20">
        <v>18</v>
      </c>
      <c r="B20" s="12" t="s">
        <v>113</v>
      </c>
      <c r="C20" s="12" t="s">
        <v>159</v>
      </c>
      <c r="D20" s="12" t="s">
        <v>201</v>
      </c>
      <c r="E20" s="12" t="s">
        <v>249</v>
      </c>
      <c r="F20" s="12" t="s">
        <v>290</v>
      </c>
      <c r="G20" s="12" t="s">
        <v>333</v>
      </c>
      <c r="H20">
        <v>0.41454703729792702</v>
      </c>
    </row>
    <row r="21" spans="1:8">
      <c r="A21">
        <v>19</v>
      </c>
      <c r="B21" s="12" t="s">
        <v>114</v>
      </c>
      <c r="C21" s="12" t="s">
        <v>160</v>
      </c>
      <c r="D21" s="12" t="s">
        <v>202</v>
      </c>
      <c r="E21" s="12" t="s">
        <v>250</v>
      </c>
      <c r="F21" s="12" t="s">
        <v>291</v>
      </c>
      <c r="G21" s="12" t="s">
        <v>334</v>
      </c>
      <c r="H21" s="12" t="s">
        <v>373</v>
      </c>
    </row>
    <row r="22" spans="1:8">
      <c r="A22">
        <v>20</v>
      </c>
      <c r="B22" s="12" t="s">
        <v>115</v>
      </c>
      <c r="C22" s="12" t="s">
        <v>161</v>
      </c>
      <c r="D22" s="12" t="s">
        <v>203</v>
      </c>
      <c r="E22" s="12" t="s">
        <v>251</v>
      </c>
      <c r="F22" s="12" t="s">
        <v>292</v>
      </c>
      <c r="G22" s="12" t="s">
        <v>335</v>
      </c>
      <c r="H22" s="12" t="s">
        <v>374</v>
      </c>
    </row>
    <row r="23" spans="1:8">
      <c r="A23">
        <v>21</v>
      </c>
      <c r="B23" s="12" t="s">
        <v>116</v>
      </c>
      <c r="C23" s="12" t="s">
        <v>162</v>
      </c>
      <c r="D23" s="12" t="s">
        <v>204</v>
      </c>
      <c r="E23" s="12" t="s">
        <v>252</v>
      </c>
      <c r="F23" s="12" t="s">
        <v>293</v>
      </c>
      <c r="G23" s="12" t="s">
        <v>336</v>
      </c>
      <c r="H23" s="12" t="s">
        <v>375</v>
      </c>
    </row>
    <row r="24" spans="1:8">
      <c r="A24">
        <v>22</v>
      </c>
      <c r="B24" s="12" t="s">
        <v>117</v>
      </c>
      <c r="C24" s="12" t="s">
        <v>163</v>
      </c>
      <c r="D24" s="12" t="s">
        <v>205</v>
      </c>
      <c r="E24" s="12" t="s">
        <v>253</v>
      </c>
      <c r="F24" s="12" t="s">
        <v>294</v>
      </c>
      <c r="G24" s="12" t="s">
        <v>337</v>
      </c>
      <c r="H24" s="12" t="s">
        <v>376</v>
      </c>
    </row>
    <row r="25" spans="1:8">
      <c r="A25">
        <v>23</v>
      </c>
      <c r="B25" s="12" t="s">
        <v>118</v>
      </c>
      <c r="C25" s="12" t="s">
        <v>164</v>
      </c>
      <c r="D25" s="12" t="s">
        <v>206</v>
      </c>
      <c r="E25" s="12" t="s">
        <v>254</v>
      </c>
      <c r="F25" s="12" t="s">
        <v>295</v>
      </c>
      <c r="G25" s="12" t="s">
        <v>338</v>
      </c>
      <c r="H25" s="12" t="s">
        <v>377</v>
      </c>
    </row>
    <row r="26" spans="1:8">
      <c r="A26">
        <v>24</v>
      </c>
      <c r="B26" s="12" t="s">
        <v>119</v>
      </c>
      <c r="C26">
        <v>0.2085318329625</v>
      </c>
      <c r="D26" s="12" t="s">
        <v>207</v>
      </c>
      <c r="E26" s="12" t="s">
        <v>255</v>
      </c>
      <c r="F26" s="12" t="s">
        <v>296</v>
      </c>
      <c r="G26" s="12" t="s">
        <v>339</v>
      </c>
      <c r="H26" s="12" t="s">
        <v>378</v>
      </c>
    </row>
    <row r="27" spans="1:8">
      <c r="A27">
        <v>25</v>
      </c>
      <c r="B27" s="12" t="s">
        <v>120</v>
      </c>
      <c r="C27">
        <v>0.16994421463144899</v>
      </c>
      <c r="D27" s="12" t="s">
        <v>208</v>
      </c>
      <c r="E27" s="12" t="s">
        <v>256</v>
      </c>
      <c r="F27" s="12" t="s">
        <v>297</v>
      </c>
      <c r="G27">
        <v>0.26021167515968302</v>
      </c>
      <c r="H27" s="12" t="s">
        <v>379</v>
      </c>
    </row>
    <row r="28" spans="1:8">
      <c r="A28">
        <v>26</v>
      </c>
      <c r="B28" s="12" t="s">
        <v>121</v>
      </c>
      <c r="C28" s="12" t="s">
        <v>165</v>
      </c>
      <c r="D28" s="12" t="s">
        <v>209</v>
      </c>
      <c r="E28" s="12" t="s">
        <v>257</v>
      </c>
      <c r="F28" s="12" t="s">
        <v>298</v>
      </c>
      <c r="G28" s="12" t="s">
        <v>340</v>
      </c>
      <c r="H28" s="12" t="s">
        <v>380</v>
      </c>
    </row>
    <row r="29" spans="1:8">
      <c r="A29">
        <v>27</v>
      </c>
      <c r="B29" s="12" t="s">
        <v>122</v>
      </c>
      <c r="C29" s="12" t="s">
        <v>166</v>
      </c>
      <c r="D29" s="12" t="s">
        <v>210</v>
      </c>
      <c r="E29" s="12" t="s">
        <v>258</v>
      </c>
      <c r="F29" s="12" t="s">
        <v>299</v>
      </c>
      <c r="G29" s="12" t="s">
        <v>341</v>
      </c>
      <c r="H29" s="12" t="s">
        <v>381</v>
      </c>
    </row>
    <row r="30" spans="1:8">
      <c r="A30">
        <v>28</v>
      </c>
      <c r="B30" s="12" t="s">
        <v>123</v>
      </c>
      <c r="C30" s="12" t="s">
        <v>167</v>
      </c>
      <c r="D30" s="12" t="s">
        <v>211</v>
      </c>
      <c r="E30" s="12" t="s">
        <v>259</v>
      </c>
      <c r="F30" s="12" t="s">
        <v>300</v>
      </c>
      <c r="G30" s="12" t="s">
        <v>342</v>
      </c>
      <c r="H30" s="12" t="s">
        <v>382</v>
      </c>
    </row>
    <row r="31" spans="1:8">
      <c r="A31">
        <v>29</v>
      </c>
      <c r="B31" s="12" t="s">
        <v>124</v>
      </c>
      <c r="C31" s="12" t="s">
        <v>168</v>
      </c>
      <c r="D31" s="12" t="s">
        <v>212</v>
      </c>
      <c r="E31" s="12" t="s">
        <v>260</v>
      </c>
      <c r="F31" s="12" t="s">
        <v>301</v>
      </c>
      <c r="G31" s="12" t="s">
        <v>343</v>
      </c>
      <c r="H31" s="12" t="s">
        <v>383</v>
      </c>
    </row>
    <row r="32" spans="1:8">
      <c r="A32">
        <v>30</v>
      </c>
      <c r="B32" s="12" t="s">
        <v>125</v>
      </c>
      <c r="C32" s="12" t="s">
        <v>169</v>
      </c>
      <c r="D32" s="12" t="s">
        <v>213</v>
      </c>
      <c r="E32" s="12" t="s">
        <v>261</v>
      </c>
      <c r="F32" s="12" t="s">
        <v>302</v>
      </c>
      <c r="G32" s="12" t="s">
        <v>344</v>
      </c>
      <c r="H32" s="12" t="s">
        <v>384</v>
      </c>
    </row>
    <row r="33" spans="1:8">
      <c r="A33">
        <v>31</v>
      </c>
      <c r="B33" s="12" t="s">
        <v>126</v>
      </c>
      <c r="C33" s="12" t="s">
        <v>170</v>
      </c>
      <c r="D33" s="12" t="s">
        <v>214</v>
      </c>
      <c r="E33" s="12" t="s">
        <v>262</v>
      </c>
      <c r="F33" s="12" t="s">
        <v>303</v>
      </c>
      <c r="G33" s="12" t="s">
        <v>345</v>
      </c>
      <c r="H33" s="12" t="s">
        <v>385</v>
      </c>
    </row>
    <row r="34" spans="1:8">
      <c r="A34">
        <v>32</v>
      </c>
      <c r="B34" s="12" t="s">
        <v>127</v>
      </c>
      <c r="C34" s="12" t="s">
        <v>171</v>
      </c>
      <c r="D34" s="12" t="s">
        <v>215</v>
      </c>
      <c r="E34" s="12" t="s">
        <v>263</v>
      </c>
      <c r="F34" s="12" t="s">
        <v>304</v>
      </c>
      <c r="G34" s="12" t="s">
        <v>346</v>
      </c>
      <c r="H34" s="12" t="s">
        <v>386</v>
      </c>
    </row>
    <row r="35" spans="1:8">
      <c r="A35">
        <v>33</v>
      </c>
      <c r="B35" s="12" t="s">
        <v>128</v>
      </c>
      <c r="C35" s="12" t="s">
        <v>172</v>
      </c>
      <c r="D35" s="12" t="s">
        <v>216</v>
      </c>
      <c r="E35">
        <v>9.0283022776267305E-2</v>
      </c>
      <c r="F35">
        <v>9.2033704010104897E-2</v>
      </c>
      <c r="G35" s="12" t="s">
        <v>347</v>
      </c>
      <c r="H35" s="12" t="s">
        <v>387</v>
      </c>
    </row>
    <row r="36" spans="1:8">
      <c r="A36">
        <v>34</v>
      </c>
      <c r="B36" s="12" t="s">
        <v>129</v>
      </c>
      <c r="C36">
        <v>8.6454056239730598E-2</v>
      </c>
      <c r="D36" s="12" t="s">
        <v>217</v>
      </c>
      <c r="E36">
        <v>6.4423516710412507E-2</v>
      </c>
      <c r="F36">
        <v>8.3054394057521699E-2</v>
      </c>
      <c r="G36" s="12" t="s">
        <v>348</v>
      </c>
      <c r="H36" s="12" t="s">
        <v>388</v>
      </c>
    </row>
    <row r="37" spans="1:8">
      <c r="A37">
        <v>35</v>
      </c>
      <c r="B37">
        <v>9.4968045123049599E-2</v>
      </c>
      <c r="C37">
        <v>9.9225441902206196E-2</v>
      </c>
      <c r="D37" s="12" t="s">
        <v>218</v>
      </c>
      <c r="E37">
        <v>7.8646483136426304E-2</v>
      </c>
      <c r="F37">
        <v>7.8786940362940802E-2</v>
      </c>
      <c r="G37" s="12" t="s">
        <v>349</v>
      </c>
      <c r="H37" s="12" t="s">
        <v>389</v>
      </c>
    </row>
    <row r="38" spans="1:8">
      <c r="A38">
        <v>36</v>
      </c>
      <c r="B38">
        <v>9.9276823695513106E-2</v>
      </c>
      <c r="C38" s="12" t="s">
        <v>173</v>
      </c>
      <c r="D38" s="12" t="s">
        <v>219</v>
      </c>
      <c r="E38">
        <v>9.1413991822141202E-2</v>
      </c>
      <c r="F38">
        <v>7.8909489025158402E-2</v>
      </c>
      <c r="G38">
        <v>7.9955730263846003E-2</v>
      </c>
      <c r="H38" s="12" t="s">
        <v>390</v>
      </c>
    </row>
    <row r="39" spans="1:8">
      <c r="A39">
        <v>37</v>
      </c>
      <c r="B39" s="12" t="s">
        <v>130</v>
      </c>
      <c r="C39" s="12" t="s">
        <v>174</v>
      </c>
      <c r="D39" s="12" t="s">
        <v>220</v>
      </c>
      <c r="E39">
        <v>9.7118926106474698E-2</v>
      </c>
      <c r="F39">
        <v>8.4626396165053006E-2</v>
      </c>
      <c r="G39">
        <v>6.6494233156342203E-2</v>
      </c>
      <c r="H39" s="12" t="s">
        <v>391</v>
      </c>
    </row>
    <row r="40" spans="1:8">
      <c r="A40">
        <v>38</v>
      </c>
      <c r="B40" s="12" t="s">
        <v>131</v>
      </c>
      <c r="C40" s="12" t="s">
        <v>175</v>
      </c>
      <c r="D40" s="12" t="s">
        <v>221</v>
      </c>
      <c r="E40">
        <v>9.5294774989946304E-2</v>
      </c>
      <c r="F40">
        <v>9.42346136596654E-2</v>
      </c>
      <c r="G40">
        <v>6.4828975994844301E-2</v>
      </c>
      <c r="H40" s="12" t="s">
        <v>392</v>
      </c>
    </row>
    <row r="41" spans="1:8">
      <c r="A41">
        <v>39</v>
      </c>
      <c r="B41" s="12" t="s">
        <v>132</v>
      </c>
      <c r="C41" s="12" t="s">
        <v>176</v>
      </c>
      <c r="D41" s="12" t="s">
        <v>222</v>
      </c>
      <c r="E41">
        <v>9.5660007696819593E-2</v>
      </c>
      <c r="F41" s="12" t="s">
        <v>305</v>
      </c>
      <c r="G41">
        <v>7.1373373801299295E-2</v>
      </c>
      <c r="H41" s="12" t="s">
        <v>393</v>
      </c>
    </row>
    <row r="42" spans="1:8">
      <c r="A42">
        <v>40</v>
      </c>
      <c r="B42" s="12" t="s">
        <v>133</v>
      </c>
      <c r="C42" s="12" t="s">
        <v>177</v>
      </c>
      <c r="D42" s="12" t="s">
        <v>223</v>
      </c>
      <c r="E42">
        <v>9.8211717791312395E-2</v>
      </c>
      <c r="F42" s="12" t="s">
        <v>306</v>
      </c>
      <c r="G42">
        <v>8.8004367788195495E-2</v>
      </c>
      <c r="H42" s="12" t="s">
        <v>394</v>
      </c>
    </row>
    <row r="43" spans="1:8">
      <c r="A43">
        <v>41</v>
      </c>
      <c r="B43" s="12" t="s">
        <v>134</v>
      </c>
      <c r="C43" s="12" t="s">
        <v>178</v>
      </c>
      <c r="D43" s="12" t="s">
        <v>224</v>
      </c>
      <c r="E43" s="12" t="s">
        <v>264</v>
      </c>
      <c r="F43" s="12" t="s">
        <v>307</v>
      </c>
      <c r="G43" s="12" t="s">
        <v>350</v>
      </c>
      <c r="H43" s="12" t="s">
        <v>395</v>
      </c>
    </row>
    <row r="44" spans="1:8">
      <c r="A44">
        <v>42</v>
      </c>
      <c r="B44" s="12" t="s">
        <v>135</v>
      </c>
      <c r="C44" s="12" t="s">
        <v>179</v>
      </c>
      <c r="D44" s="12" t="s">
        <v>225</v>
      </c>
      <c r="E44" s="12" t="s">
        <v>265</v>
      </c>
      <c r="F44" s="12" t="s">
        <v>308</v>
      </c>
      <c r="G44" s="12" t="s">
        <v>351</v>
      </c>
      <c r="H44" s="12" t="s">
        <v>396</v>
      </c>
    </row>
    <row r="45" spans="1:8">
      <c r="A45">
        <v>43</v>
      </c>
      <c r="B45" s="12" t="s">
        <v>136</v>
      </c>
      <c r="C45" s="12" t="s">
        <v>180</v>
      </c>
      <c r="D45" s="12" t="s">
        <v>226</v>
      </c>
      <c r="E45" s="12" t="s">
        <v>266</v>
      </c>
      <c r="F45" s="12" t="s">
        <v>309</v>
      </c>
      <c r="G45" s="12" t="s">
        <v>352</v>
      </c>
      <c r="H45" s="12" t="s">
        <v>397</v>
      </c>
    </row>
    <row r="46" spans="1:8">
      <c r="A46">
        <v>44</v>
      </c>
      <c r="B46" s="12" t="s">
        <v>137</v>
      </c>
      <c r="C46" s="12" t="s">
        <v>181</v>
      </c>
      <c r="D46" s="12" t="s">
        <v>227</v>
      </c>
      <c r="E46" s="12" t="s">
        <v>267</v>
      </c>
      <c r="F46" s="12" t="s">
        <v>310</v>
      </c>
      <c r="G46" s="12" t="s">
        <v>353</v>
      </c>
      <c r="H46" s="12" t="s">
        <v>398</v>
      </c>
    </row>
    <row r="47" spans="1:8">
      <c r="A47">
        <v>45</v>
      </c>
      <c r="B47" s="12" t="s">
        <v>138</v>
      </c>
      <c r="C47" s="12" t="s">
        <v>182</v>
      </c>
      <c r="D47" s="12" t="s">
        <v>228</v>
      </c>
      <c r="E47" s="12" t="s">
        <v>268</v>
      </c>
      <c r="F47" s="12" t="s">
        <v>311</v>
      </c>
      <c r="G47" s="12" t="s">
        <v>354</v>
      </c>
      <c r="H47" s="12" t="s">
        <v>399</v>
      </c>
    </row>
    <row r="48" spans="1:8">
      <c r="A48">
        <v>46</v>
      </c>
      <c r="B48" s="12" t="s">
        <v>139</v>
      </c>
      <c r="C48" s="12" t="s">
        <v>183</v>
      </c>
      <c r="D48" s="12" t="s">
        <v>229</v>
      </c>
      <c r="E48" s="12" t="s">
        <v>269</v>
      </c>
      <c r="F48" s="12" t="s">
        <v>312</v>
      </c>
      <c r="G48" s="12" t="s">
        <v>355</v>
      </c>
      <c r="H48" s="12" t="s">
        <v>400</v>
      </c>
    </row>
    <row r="49" spans="1:8">
      <c r="A49">
        <v>47</v>
      </c>
      <c r="B49" s="12" t="s">
        <v>140</v>
      </c>
      <c r="C49" s="12" t="s">
        <v>184</v>
      </c>
      <c r="D49" s="12" t="s">
        <v>230</v>
      </c>
      <c r="E49" s="12" t="s">
        <v>270</v>
      </c>
      <c r="F49" s="12" t="s">
        <v>313</v>
      </c>
      <c r="G49" s="12" t="s">
        <v>356</v>
      </c>
      <c r="H49" s="12" t="s">
        <v>401</v>
      </c>
    </row>
    <row r="50" spans="1:8">
      <c r="A50">
        <v>48</v>
      </c>
      <c r="B50" s="12" t="s">
        <v>141</v>
      </c>
      <c r="C50" s="12" t="s">
        <v>185</v>
      </c>
      <c r="D50" s="12" t="s">
        <v>231</v>
      </c>
      <c r="E50" s="12" t="s">
        <v>271</v>
      </c>
      <c r="F50" s="12" t="s">
        <v>314</v>
      </c>
      <c r="G50" s="12" t="s">
        <v>357</v>
      </c>
      <c r="H50" s="12" t="s">
        <v>402</v>
      </c>
    </row>
    <row r="51" spans="1:8">
      <c r="A51">
        <v>49</v>
      </c>
      <c r="B51" s="12" t="s">
        <v>142</v>
      </c>
      <c r="C51" s="12" t="s">
        <v>186</v>
      </c>
      <c r="D51" s="12" t="s">
        <v>232</v>
      </c>
      <c r="E51" s="12" t="s">
        <v>272</v>
      </c>
      <c r="F51" s="12" t="s">
        <v>315</v>
      </c>
      <c r="G51">
        <v>0.95568185510665105</v>
      </c>
      <c r="H51" s="12" t="s">
        <v>403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71D703-DF7C-6042-B2D6-514C0082441E}">
  <dimension ref="A1:G8"/>
  <sheetViews>
    <sheetView tabSelected="1" zoomScale="160" workbookViewId="0">
      <selection sqref="A1:B8"/>
    </sheetView>
  </sheetViews>
  <sheetFormatPr baseColWidth="10" defaultRowHeight="16"/>
  <sheetData>
    <row r="1" spans="1:7">
      <c r="A1" s="11" t="s">
        <v>95</v>
      </c>
      <c r="B1" s="11" t="s">
        <v>404</v>
      </c>
      <c r="C1" s="11"/>
      <c r="D1" s="11"/>
      <c r="E1" s="11"/>
      <c r="F1" s="11"/>
      <c r="G1" s="11"/>
    </row>
    <row r="2" spans="1:7">
      <c r="A2">
        <v>628353</v>
      </c>
      <c r="B2" s="15">
        <v>4.7372685185185184E-2</v>
      </c>
    </row>
    <row r="3" spans="1:7">
      <c r="A3">
        <v>1008002</v>
      </c>
      <c r="B3" s="15">
        <v>8.5081018518518514E-2</v>
      </c>
    </row>
    <row r="4" spans="1:7">
      <c r="A4">
        <v>1286599</v>
      </c>
      <c r="B4" s="15">
        <v>0.10170138888888888</v>
      </c>
    </row>
    <row r="5" spans="1:7">
      <c r="A5">
        <v>1649192</v>
      </c>
      <c r="B5" s="15">
        <v>0.14685185185185184</v>
      </c>
    </row>
    <row r="6" spans="1:7">
      <c r="A6">
        <v>2745843</v>
      </c>
      <c r="B6" s="15">
        <v>0.25331018518518517</v>
      </c>
    </row>
    <row r="7" spans="1:7">
      <c r="A7">
        <v>4678927</v>
      </c>
      <c r="B7" s="15">
        <v>0.40443287037037035</v>
      </c>
    </row>
    <row r="8" spans="1:7">
      <c r="A8">
        <v>7718722</v>
      </c>
      <c r="B8" s="15">
        <v>0.72090277777777778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Sheet1</vt:lpstr>
      <vt:lpstr>Sheet2</vt:lpstr>
      <vt:lpstr>Sheet3</vt:lpstr>
      <vt:lpstr>Sheet4</vt:lpstr>
      <vt:lpstr>Sheet5</vt:lpstr>
      <vt:lpstr>Sheet6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Vijay Nandurdikar</dc:creator>
  <cp:lastModifiedBy>Vijay Nandurdikar</cp:lastModifiedBy>
  <dcterms:created xsi:type="dcterms:W3CDTF">2025-04-29T13:08:48Z</dcterms:created>
  <dcterms:modified xsi:type="dcterms:W3CDTF">2025-05-21T15:57:02Z</dcterms:modified>
</cp:coreProperties>
</file>